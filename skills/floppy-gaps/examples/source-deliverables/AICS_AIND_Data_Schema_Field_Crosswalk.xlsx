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alleninstitute.sharepoint.com/sites/BioDataRegistryV-Team/Shared Documents/Workstream 2 - Schema and Data Model/Cell Science Metadata/"/>
    </mc:Choice>
  </mc:AlternateContent>
  <xr:revisionPtr revIDLastSave="0" documentId="8_{4852198C-8958-6848-9981-7464A8075F1B}" xr6:coauthVersionLast="47" xr6:coauthVersionMax="47" xr10:uidLastSave="{00000000-0000-0000-0000-000000000000}"/>
  <bookViews>
    <workbookView xWindow="13880" yWindow="2580" windowWidth="51200" windowHeight="28300" xr2:uid="{00000000-000D-0000-FFFF-FFFF00000000}"/>
  </bookViews>
  <sheets>
    <sheet name="Summary" sheetId="1" r:id="rId1"/>
    <sheet name="Top-level Crosswalk" sheetId="2" r:id="rId2"/>
    <sheet name="Nested Child Crosswalk" sheetId="3" r:id="rId3"/>
    <sheet name="AIND Required Gaps" sheetId="4" r:id="rId4"/>
    <sheet name="Recommendations" sheetId="5" r:id="rId5"/>
    <sheet name="READM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C18" i="1" s="1"/>
  <c r="B17" i="1"/>
  <c r="C17" i="1" s="1"/>
  <c r="B16" i="1"/>
  <c r="C16" i="1" s="1"/>
  <c r="F15" i="1"/>
  <c r="B15" i="1"/>
  <c r="C15" i="1" s="1"/>
  <c r="F14" i="1"/>
  <c r="B14" i="1"/>
  <c r="C14" i="1" s="1"/>
  <c r="F13" i="1"/>
  <c r="C13" i="1"/>
  <c r="B13" i="1"/>
</calcChain>
</file>

<file path=xl/sharedStrings.xml><?xml version="1.0" encoding="utf-8"?>
<sst xmlns="http://schemas.openxmlformats.org/spreadsheetml/2006/main" count="3564" uniqueCount="897">
  <si>
    <t>AICS to AIND Data Schema Gap Analysis</t>
  </si>
  <si>
    <t>Pinned reference: aind-data-schema v2.9.0 | Source: AICS candidate schema 0.6.0 slim REMBI-categorized primary-image view</t>
  </si>
  <si>
    <t>Source records</t>
  </si>
  <si>
    <t>Top-level fields</t>
  </si>
  <si>
    <t>Nested child fields</t>
  </si>
  <si>
    <t>AIND required checks</t>
  </si>
  <si>
    <t>Reference version</t>
  </si>
  <si>
    <t>aind-data-schema v2.9.0</t>
  </si>
  <si>
    <t>Prepared</t>
  </si>
  <si>
    <t>Top-level mapping status</t>
  </si>
  <si>
    <t>Count</t>
  </si>
  <si>
    <t>Share</t>
  </si>
  <si>
    <t>AIND required-gap severity</t>
  </si>
  <si>
    <t>Direct</t>
  </si>
  <si>
    <t>High</t>
  </si>
  <si>
    <t>Partial</t>
  </si>
  <si>
    <t>Medium</t>
  </si>
  <si>
    <t>Extension container</t>
  </si>
  <si>
    <t>Low</t>
  </si>
  <si>
    <t>No first-class analog</t>
  </si>
  <si>
    <t>Platform or manifest</t>
  </si>
  <si>
    <t>Derived/search-only</t>
  </si>
  <si>
    <t>Interpretation</t>
  </si>
  <si>
    <t>Only 11 top-level fields have a direct semantic destination. Direct mapping does not make the surrounding AIND object valid: 42 required or conditionally required target checks were assessed separately, and 28 are high-severity gaps. The dominant blockers are acquisition-level aggregation, cell-line/specimen identity, timing and device configuration, plate/well design, and missing administrative provenance.</t>
  </si>
  <si>
    <t>Top-level AICS to AIND Crosswalk</t>
  </si>
  <si>
    <t>All 186 physical top-level fields in the supplied Parquet view. Filters and conditional colors are enabled.</t>
  </si>
  <si>
    <t>AICS field</t>
  </si>
  <si>
    <t>AICS category</t>
  </si>
  <si>
    <t>Description</t>
  </si>
  <si>
    <t>AICS type</t>
  </si>
  <si>
    <t>Requirement</t>
  </si>
  <si>
    <t>Nested path</t>
  </si>
  <si>
    <t>AIND target</t>
  </si>
  <si>
    <t>Mapping status</t>
  </si>
  <si>
    <t>Severity</t>
  </si>
  <si>
    <t>Recommendation</t>
  </si>
  <si>
    <t>Mapping note</t>
  </si>
  <si>
    <t>Resolution layer</t>
  </si>
  <si>
    <t>Reference URL</t>
  </si>
  <si>
    <t>metadata_record_id</t>
  </si>
  <si>
    <t>Governance, Provenance &amp; Quality</t>
  </si>
  <si>
    <t>Stable identifier for one metadata inventory record.</t>
  </si>
  <si>
    <t>string</t>
  </si>
  <si>
    <t>required</t>
  </si>
  <si>
    <t>metadata.other_identifiers[]</t>
  </si>
  <si>
    <t>R1</t>
  </si>
  <si>
    <t>Preserve as a secondary identifier; it identifies a file row, not necessarily the AIND acquisition asset.</t>
  </si>
  <si>
    <t>Portable schema</t>
  </si>
  <si>
    <t>https://github.com/AllenNeuralDynamics/aind-data-schema/tree/v2.9.0</t>
  </si>
  <si>
    <t>dataset_name</t>
  </si>
  <si>
    <t>Study &amp; Dataset</t>
  </si>
  <si>
    <t>Controlled name of one of the five top-level datasets.</t>
  </si>
  <si>
    <t>data_description.project_name</t>
  </si>
  <si>
    <t>Closest project-level concept; confirm one AICS dataset equals one AIND project.</t>
  </si>
  <si>
    <t>collection_name</t>
  </si>
  <si>
    <t>Dataset-internal collection or subgroup label.</t>
  </si>
  <si>
    <t>optional</t>
  </si>
  <si>
    <t>data_description.tags[]</t>
  </si>
  <si>
    <t>AIND has no identified collection object; tags are lossy.</t>
  </si>
  <si>
    <t>acquisition_group_id</t>
  </si>
  <si>
    <t>Image Acquisition</t>
  </si>
  <si>
    <t>Harmonized metadata field for acquisition group id.</t>
  </si>
  <si>
    <t>data_description.name / acquisition identity (derived)</t>
  </si>
  <si>
    <t>Best candidate for grouping file rows into an AIND acquisition asset, but AIND identity is time-based.</t>
  </si>
  <si>
    <t>acquisition_type</t>
  </si>
  <si>
    <t>Harmonized metadata field for acquisition type.</t>
  </si>
  <si>
    <t>acquisition.acquisition_type</t>
  </si>
  <si>
    <t>R4</t>
  </si>
  <si>
    <t>Open string in both models; normalize values across datasets.</t>
  </si>
  <si>
    <t>sample_state</t>
  </si>
  <si>
    <t>Specimen &amp; Experimental Conditions</t>
  </si>
  <si>
    <t>Harmonized metadata field for sample state.</t>
  </si>
  <si>
    <t>procedures.specimen_procedures[].protocol_parameters/procedure_details</t>
  </si>
  <si>
    <t>R6</t>
  </si>
  <si>
    <t>Can be retained in flexible parameters, but semantics, units, and vocabulary are not first-class.</t>
  </si>
  <si>
    <t>file_name</t>
  </si>
  <si>
    <t>Image Data &amp; File Asset</t>
  </si>
  <si>
    <t>Display name of the governed asset.</t>
  </si>
  <si>
    <t>ImagingConfig.images[].file_name or metadata.name</t>
  </si>
  <si>
    <t>AIND metadata.name identifies the whole asset; image file_name exists only in selected image classes.</t>
  </si>
  <si>
    <t>file_path</t>
  </si>
  <si>
    <t>Display or storage path of the governed asset.</t>
  </si>
  <si>
    <t>metadata.location or ImagingConfig.images[].file_name</t>
  </si>
  <si>
    <t>One AIND location describes an asset root, while AICS stores one path per file row.</t>
  </si>
  <si>
    <t>source_file_id</t>
  </si>
  <si>
    <t>Harmonized metadata field for source file id.</t>
  </si>
  <si>
    <t>Preserve as a secondary identifier with namespace.</t>
  </si>
  <si>
    <t>source_asset_id</t>
  </si>
  <si>
    <t>Harmonized metadata field for source asset id.</t>
  </si>
  <si>
    <t>metadata.other_identifiers[] or data_description.source_data[]</t>
  </si>
  <si>
    <t>Use other_identifiers for identity; use source_data only when it denotes provenance.</t>
  </si>
  <si>
    <t>source_file_name</t>
  </si>
  <si>
    <t>Harmonized metadata field for source file name.</t>
  </si>
  <si>
    <t>ImagingConfig.images[].file_name or file-manifest extension</t>
  </si>
  <si>
    <t>R5</t>
  </si>
  <si>
    <t>AIND lacks a generic per-file manifest across all imaging modalities.</t>
  </si>
  <si>
    <t>file_size_bytes</t>
  </si>
  <si>
    <t>Harmonized metadata field for file size bytes.</t>
  </si>
  <si>
    <t>int64</t>
  </si>
  <si>
    <t>File manifest / registry platform</t>
  </si>
  <si>
    <t>Useful per-file discovery or storage metadata without a generic AIND core field.</t>
  </si>
  <si>
    <t>File-manifest/platform layer</t>
  </si>
  <si>
    <t>source_file_size_bytes</t>
  </si>
  <si>
    <t>Harmonized metadata field for source file size bytes.</t>
  </si>
  <si>
    <t>thumbnail_uri</t>
  </si>
  <si>
    <t>Harmonized metadata field for thumbnail uri.</t>
  </si>
  <si>
    <t>uploaded_by</t>
  </si>
  <si>
    <t>Harmonized metadata field for uploaded by.</t>
  </si>
  <si>
    <t>Registry policy / data_description.data_summary or restrictions</t>
  </si>
  <si>
    <t>R9/R10</t>
  </si>
  <si>
    <t>Route portable scientific meaning separately from platform governance.</t>
  </si>
  <si>
    <t>uploaded_at</t>
  </si>
  <si>
    <t>Harmonized metadata field for uploaded at.</t>
  </si>
  <si>
    <t>data_description.creation_time</t>
  </si>
  <si>
    <t>R10</t>
  </si>
  <si>
    <t>Upload time is not necessarily file creation or acquisition time; do not substitute without policy.</t>
  </si>
  <si>
    <t>file_type</t>
  </si>
  <si>
    <t>Normalized physical file or container format.</t>
  </si>
  <si>
    <t>data_description.modalities[] plus file-manifest extension</t>
  </si>
  <si>
    <t>Physical format and scientific modality are different concepts.</t>
  </si>
  <si>
    <t>asset_role</t>
  </si>
  <si>
    <t>Scientific or technical role of the asset.</t>
  </si>
  <si>
    <t>data_description.data_level</t>
  </si>
  <si>
    <t>Raw/derived overlap exists, but AICS asset roles are more granular.</t>
  </si>
  <si>
    <t>cell_line</t>
  </si>
  <si>
    <t>Biological Source</t>
  </si>
  <si>
    <t>Canonical AICS cell-line identifier without leading zeros.</t>
  </si>
  <si>
    <t>conditional_required</t>
  </si>
  <si>
    <t>Cell-line/specimen extension; limited Subject/SpecimenProcedure parameters</t>
  </si>
  <si>
    <t>R2</t>
  </si>
  <si>
    <t>AIND v2.9.0 has animal/human subject details but no cell-line/clone lineage object.</t>
  </si>
  <si>
    <t>parental_cell_line</t>
  </si>
  <si>
    <t>Project-level parental cell-line description.</t>
  </si>
  <si>
    <t>biological_entity</t>
  </si>
  <si>
    <t>Controlled class of biological entity represented by the asset.</t>
  </si>
  <si>
    <t>subject/specimen profile</t>
  </si>
  <si>
    <t>Use to select a cell-line/specimen profile; no matching AIND subject subtype exists.</t>
  </si>
  <si>
    <t>clone</t>
  </si>
  <si>
    <t>Cell-line clone identifier stored as text.</t>
  </si>
  <si>
    <t>structure</t>
  </si>
  <si>
    <t>Normalized biological structure associated with the asset or channel.</t>
  </si>
  <si>
    <t>Channel.intended_measurement or Plane.targeted_structure</t>
  </si>
  <si>
    <t>Target depends on whether the value describes a channel label or anatomical/imaged structure.</t>
  </si>
  <si>
    <t>instrument_id</t>
  </si>
  <si>
    <t>Harmonized metadata field for instrument id.</t>
  </si>
  <si>
    <t>instrument.instrument_id; acquisition.instrument_id</t>
  </si>
  <si>
    <t>Use as the cross-file instrument identifier; values must agree.</t>
  </si>
  <si>
    <t>instrument_name</t>
  </si>
  <si>
    <t>Harmonized metadata field for instrument name.</t>
  </si>
  <si>
    <t>instrument.components[Microscope].name</t>
  </si>
  <si>
    <t>Maps to the microscope device name; device identity details remain sparse.</t>
  </si>
  <si>
    <t>objective_magnification</t>
  </si>
  <si>
    <t>Harmonized metadata field for objective magnification.</t>
  </si>
  <si>
    <t>double</t>
  </si>
  <si>
    <t>instrument.components[Objective].magnification</t>
  </si>
  <si>
    <t>Numeric value maps directly.</t>
  </si>
  <si>
    <t>objective_numerical_aperture</t>
  </si>
  <si>
    <t>Harmonized metadata field for objective numerical aperture.</t>
  </si>
  <si>
    <t>instrument.components[Objective].numerical_aperture</t>
  </si>
  <si>
    <t>objective_immersion</t>
  </si>
  <si>
    <t>Harmonized metadata field for objective immersion.</t>
  </si>
  <si>
    <t>instrument.components[Objective].immersion</t>
  </si>
  <si>
    <t>Normalize to the AIND immersion vocabulary.</t>
  </si>
  <si>
    <t>objective_model</t>
  </si>
  <si>
    <t>Harmonized metadata field for objective model.</t>
  </si>
  <si>
    <t>instrument.components[Objective].model</t>
  </si>
  <si>
    <t>Model maps directly; Objective.name still needs a stable device name.</t>
  </si>
  <si>
    <t>binning</t>
  </si>
  <si>
    <t>Harmonized metadata field for binning.</t>
  </si>
  <si>
    <t>instrument.components[Camera].bin_mode/bin_width/bin_height</t>
  </si>
  <si>
    <t>Parse the source string into typed camera binning fields.</t>
  </si>
  <si>
    <t>exposure_time_ms</t>
  </si>
  <si>
    <t>Harmonized metadata field for exposure time ms.</t>
  </si>
  <si>
    <t>acquisition.data_streams[].configurations[ImagingConfig].channels[].detector.exposure_time</t>
  </si>
  <si>
    <t>Convert milliseconds to an AIND value plus exposure_time_unit.</t>
  </si>
  <si>
    <t>laser_488_power_mw</t>
  </si>
  <si>
    <t>Harmonized metadata field for laser 488 power mw.</t>
  </si>
  <si>
    <t>Channel.light_sources[LaserConfig wavelength=488].power</t>
  </si>
  <si>
    <t>Requires a named Laser device in instrument components and an explicit unit.</t>
  </si>
  <si>
    <t>laser_638_power_mw</t>
  </si>
  <si>
    <t>Harmonized metadata field for laser 638 power mw.</t>
  </si>
  <si>
    <t>Channel.light_sources[LaserConfig wavelength=638].power</t>
  </si>
  <si>
    <t>laser_power_raw</t>
  </si>
  <si>
    <t>Harmonized metadata field for laser power raw.</t>
  </si>
  <si>
    <t>Channel.light_sources[].power or notes</t>
  </si>
  <si>
    <t>Parse numeric value and unit; retain unparseable source text in notes.</t>
  </si>
  <si>
    <t>camera_alignment_matrix</t>
  </si>
  <si>
    <t>Harmonized metadata field for camera alignment matrix.</t>
  </si>
  <si>
    <t>Image.image_to_acquisition_transform</t>
  </si>
  <si>
    <t>Matrix must be parsed into an AIND transform and coordinate system.</t>
  </si>
  <si>
    <t>plate_barcode</t>
  </si>
  <si>
    <t>Experimental Design &amp; Layout</t>
  </si>
  <si>
    <t>Harmonized metadata field for plate barcode.</t>
  </si>
  <si>
    <t>No first-class AIND plate/well model; possible SpecimenProcedure.protocol_parameters</t>
  </si>
  <si>
    <t>R3</t>
  </si>
  <si>
    <t>Plate/well identity and experimental layout would be untyped or lost.</t>
  </si>
  <si>
    <t>plate_format</t>
  </si>
  <si>
    <t>Harmonized metadata field for plate format.</t>
  </si>
  <si>
    <t>plate_model</t>
  </si>
  <si>
    <t>Harmonized metadata field for plate model.</t>
  </si>
  <si>
    <t>plate_use_type</t>
  </si>
  <si>
    <t>Harmonized metadata field for plate use type.</t>
  </si>
  <si>
    <t>plate_layout</t>
  </si>
  <si>
    <t>Harmonized metadata field for plate layout.</t>
  </si>
  <si>
    <t>well</t>
  </si>
  <si>
    <t>Harmonized metadata field for well.</t>
  </si>
  <si>
    <t>well_group</t>
  </si>
  <si>
    <t>Harmonized metadata field for well group.</t>
  </si>
  <si>
    <t>scene_index</t>
  </si>
  <si>
    <t>Harmonized metadata field for scene index.</t>
  </si>
  <si>
    <t>ImagingConfig.images[] / image transform / file-manifest extension</t>
  </si>
  <si>
    <t>R4/R5</t>
  </si>
  <si>
    <t>AIND imaging objects capture some geometry but not a generic TCZYX file-header model.</t>
  </si>
  <si>
    <t>fov_index</t>
  </si>
  <si>
    <t>Harmonized metadata field for fov index.</t>
  </si>
  <si>
    <t>position_index</t>
  </si>
  <si>
    <t>Harmonized metadata field for position index.</t>
  </si>
  <si>
    <t>axis_order</t>
  </si>
  <si>
    <t>Harmonized metadata field for axis order.</t>
  </si>
  <si>
    <t>acquisition_dimension_order</t>
  </si>
  <si>
    <t>Harmonized metadata field for acquisition dimension order.</t>
  </si>
  <si>
    <t>image_dimensionality</t>
  </si>
  <si>
    <t>Harmonized metadata field for image dimensionality.</t>
  </si>
  <si>
    <t>image_size_t</t>
  </si>
  <si>
    <t>Harmonized metadata field for image size t.</t>
  </si>
  <si>
    <t>image_size_c</t>
  </si>
  <si>
    <t>Harmonized metadata field for image size c.</t>
  </si>
  <si>
    <t>acquisition_channel_count</t>
  </si>
  <si>
    <t>Harmonized metadata field for acquisition channel count.</t>
  </si>
  <si>
    <t>image_size_z</t>
  </si>
  <si>
    <t>Harmonized metadata field for image size z.</t>
  </si>
  <si>
    <t>image_size_y</t>
  </si>
  <si>
    <t>Harmonized metadata field for image size y.</t>
  </si>
  <si>
    <t>image_size_x</t>
  </si>
  <si>
    <t>Harmonized metadata field for image size x.</t>
  </si>
  <si>
    <t>pixel_size_x_um</t>
  </si>
  <si>
    <t>Harmonized metadata field for pixel size x um.</t>
  </si>
  <si>
    <t>pixel_size_y_um</t>
  </si>
  <si>
    <t>Harmonized metadata field for pixel size y um.</t>
  </si>
  <si>
    <t>pixel_size_z_um</t>
  </si>
  <si>
    <t>Harmonized metadata field for pixel size z um.</t>
  </si>
  <si>
    <t>nominal_pixel_size_z_um</t>
  </si>
  <si>
    <t>Harmonized metadata field for nominal pixel size z um.</t>
  </si>
  <si>
    <t>raw_image_shape_tczyx</t>
  </si>
  <si>
    <t>Harmonized metadata field for raw image shape tczyx.</t>
  </si>
  <si>
    <t>raw_image_dimensions_zyx</t>
  </si>
  <si>
    <t>Harmonized metadata field for raw image dimensions zyx.</t>
  </si>
  <si>
    <t>raw_image_physical_size_zyx_um</t>
  </si>
  <si>
    <t>Harmonized metadata field for raw image physical size zyx um.</t>
  </si>
  <si>
    <t>raw_voxel_size_zyx_um</t>
  </si>
  <si>
    <t>Harmonized metadata field for raw voxel size zyx um.</t>
  </si>
  <si>
    <t>is_timelapse</t>
  </si>
  <si>
    <t>Harmonized metadata field for is timelapse.</t>
  </si>
  <si>
    <t>bool</t>
  </si>
  <si>
    <t>acquisition_type / ImagingConfig.sampling_strategy</t>
  </si>
  <si>
    <t>Derive from acquisition timing; no direct boolean field.</t>
  </si>
  <si>
    <t>timepoint_count</t>
  </si>
  <si>
    <t>Harmonized metadata field for timepoint count.</t>
  </si>
  <si>
    <t>ImagingConfig.sampling_strategy or configuration parameters</t>
  </si>
  <si>
    <t>No universal typed timepoint-count field on AIND images.</t>
  </si>
  <si>
    <t>interval_minutes</t>
  </si>
  <si>
    <t>Harmonized metadata field for interval minutes.</t>
  </si>
  <si>
    <t>No universal typed interval field on AIND images.</t>
  </si>
  <si>
    <t>duration_minutes</t>
  </si>
  <si>
    <t>Harmonized metadata field for duration minutes.</t>
  </si>
  <si>
    <t>derive acquisition/data_stream end time</t>
  </si>
  <si>
    <t>Can derive an end time only when a trustworthy start time is present.</t>
  </si>
  <si>
    <t>qc_status</t>
  </si>
  <si>
    <t>Harmonized metadata field for qc status.</t>
  </si>
  <si>
    <t>quality_control.status</t>
  </si>
  <si>
    <t>R8</t>
  </si>
  <si>
    <t>Normalize AICS status labels to the AIND status representation.</t>
  </si>
  <si>
    <t>source_qc_flag</t>
  </si>
  <si>
    <t>Harmonized metadata field for source qc flag.</t>
  </si>
  <si>
    <t>quality_control.metrics[].status_history/value</t>
  </si>
  <si>
    <t>Create a named QCMetric with modality, stage, and status provenance.</t>
  </si>
  <si>
    <t>intended_use</t>
  </si>
  <si>
    <t>Harmonized metadata field for intended use.</t>
  </si>
  <si>
    <t>usage_considerations</t>
  </si>
  <si>
    <t>Harmonized metadata field for usage considerations.</t>
  </si>
  <si>
    <t>experiment_date</t>
  </si>
  <si>
    <t>Harmonized metadata field for experiment date.</t>
  </si>
  <si>
    <t>acquisition.acquisition_start_time or SpecimenProcedure.start_date</t>
  </si>
  <si>
    <t>The intended event and time precision must be resolved.</t>
  </si>
  <si>
    <t>source_experiment_date</t>
  </si>
  <si>
    <t>Harmonized metadata field for source experiment date.</t>
  </si>
  <si>
    <t>notes or provenance extension</t>
  </si>
  <si>
    <t>Retain for provenance after a normalized acquisition date is established.</t>
  </si>
  <si>
    <t>plate_seeded_at</t>
  </si>
  <si>
    <t>Harmonized metadata field for plate seeded at.</t>
  </si>
  <si>
    <t>fish_experiment_date</t>
  </si>
  <si>
    <t>Harmonized metadata field for fish experiment date.</t>
  </si>
  <si>
    <t>fixation_date</t>
  </si>
  <si>
    <t>Harmonized metadata field for fixation date.</t>
  </si>
  <si>
    <t>replate_date</t>
  </si>
  <si>
    <t>Harmonized metadata field for replate date.</t>
  </si>
  <si>
    <t>processing_date</t>
  </si>
  <si>
    <t>Processing, Analysis &amp; Derived Data</t>
  </si>
  <si>
    <t>Harmonized metadata field for processing date.</t>
  </si>
  <si>
    <t>processing.data_processes[].start_date_time</t>
  </si>
  <si>
    <t>R7</t>
  </si>
  <si>
    <t>A date alone lacks timezone, end time, process identity, and responsible experimenter.</t>
  </si>
  <si>
    <t>imaging_at</t>
  </si>
  <si>
    <t>Harmonized metadata field for imaging at.</t>
  </si>
  <si>
    <t>acquisition.acquisition_start_time</t>
  </si>
  <si>
    <t>Likely start time, but timezone and end time must be supplied or derived.</t>
  </si>
  <si>
    <t>cell_age_at_imaging_days</t>
  </si>
  <si>
    <t>Harmonized metadata field for cell age at imaging days.</t>
  </si>
  <si>
    <t>fixed_cell_age_days</t>
  </si>
  <si>
    <t>Harmonized metadata field for fixed cell age days.</t>
  </si>
  <si>
    <t>replate_duration_days</t>
  </si>
  <si>
    <t>Harmonized metadata field for replate duration days.</t>
  </si>
  <si>
    <t>days_since_differentiation</t>
  </si>
  <si>
    <t>Harmonized metadata field for days since differentiation.</t>
  </si>
  <si>
    <t>beat_date_raw</t>
  </si>
  <si>
    <t>Harmonized metadata field for beat date raw.</t>
  </si>
  <si>
    <t>metadata_qc_note</t>
  </si>
  <si>
    <t>Harmonized metadata field for metadata qc note.</t>
  </si>
  <si>
    <t>quality_control.notes</t>
  </si>
  <si>
    <t>Maps directly as a quality-control note.</t>
  </si>
  <si>
    <t>absence_of_excessive_cell_death</t>
  </si>
  <si>
    <t>Harmonized metadata field for absence of excessive cell death.</t>
  </si>
  <si>
    <t>data_description.tags[] or SpecimenProcedure.protocol_parameters</t>
  </si>
  <si>
    <t>R3/R6</t>
  </si>
  <si>
    <t>No typed experimental-condition or plate-layout construct.</t>
  </si>
  <si>
    <t>absence_of_migrating_cells_coming_from_colony_out_of_fov_at_time_of_migration</t>
  </si>
  <si>
    <t>Harmonized metadata field for absence of migrating cells coming from colony out of fov at time of migration.</t>
  </si>
  <si>
    <t>analysis_method_and_details</t>
  </si>
  <si>
    <t>Harmonized metadata field for analysis method and details.</t>
  </si>
  <si>
    <t>processing.data_processes[].code.parameters / notes</t>
  </si>
  <si>
    <t>Split software/code identifiers from narrative method details.</t>
  </si>
  <si>
    <t>analysis_scope</t>
  </si>
  <si>
    <t>Normalized scientific scope or biological process addressed by an analysis.</t>
  </si>
  <si>
    <t>processing.data_processes[].stage/name</t>
  </si>
  <si>
    <t>AICS scope vocabulary does not directly equal AIND ProcessStage.</t>
  </si>
  <si>
    <t>source_analysis_result_type</t>
  </si>
  <si>
    <t>Source-formatted analysis result or context text retained verbatim for provenance.</t>
  </si>
  <si>
    <t>processing.data_processes[].output_parameters</t>
  </si>
  <si>
    <t>Retain source wording in output parameters for provenance.</t>
  </si>
  <si>
    <t>analysis_activities</t>
  </si>
  <si>
    <t>Controlled activities performed in an analysis, represented as a multi-valued list.</t>
  </si>
  <si>
    <t>list&lt;element: string&gt;</t>
  </si>
  <si>
    <t>processing.data_processes[].process_type/name</t>
  </si>
  <si>
    <t>May expand one AICS list into multiple ordered DataProcess records.</t>
  </si>
  <si>
    <t>cas9</t>
  </si>
  <si>
    <t>Harmonized metadata field for cas9.</t>
  </si>
  <si>
    <t>cas9_batch</t>
  </si>
  <si>
    <t>Harmonized metadata field for cas9 batch.</t>
  </si>
  <si>
    <t>cold_store_candidate</t>
  </si>
  <si>
    <t>Harmonized metadata field for cold store candidate.</t>
  </si>
  <si>
    <t>colony_position</t>
  </si>
  <si>
    <t>Harmonized metadata field for colony position.</t>
  </si>
  <si>
    <t>condition</t>
  </si>
  <si>
    <t>Harmonized metadata field for condition.</t>
  </si>
  <si>
    <t>content_generation_algorithm</t>
  </si>
  <si>
    <t>Harmonized metadata field for content generation algorithm.</t>
  </si>
  <si>
    <t>processing.data_processes[].code.name/version</t>
  </si>
  <si>
    <t>Algorithm name alone does not satisfy AIND Code.url or reproducibility requirements.</t>
  </si>
  <si>
    <t>control_or_aphidicolin</t>
  </si>
  <si>
    <t>Harmonized metadata field for control or aphidicolin.</t>
  </si>
  <si>
    <t>cr_rna</t>
  </si>
  <si>
    <t>Harmonized metadata field for cr rna.</t>
  </si>
  <si>
    <t>cr_rna_batch</t>
  </si>
  <si>
    <t>Harmonized metadata field for cr rna batch.</t>
  </si>
  <si>
    <t>culture_media</t>
  </si>
  <si>
    <t>Harmonized metadata field for culture media.</t>
  </si>
  <si>
    <t>data_used_for_analysis_quilt_path_to_analysis_csv</t>
  </si>
  <si>
    <t>Harmonized metadata field for data used for analysis quilt path to analysis csv.</t>
  </si>
  <si>
    <t>processing.data_processes[].output_parameters/output_path/code.parameters</t>
  </si>
  <si>
    <t>Can be retained, but requires normalization into DataProcess, Code, and output lineage.</t>
  </si>
  <si>
    <t>dataset_id</t>
  </si>
  <si>
    <t>Harmonized metadata field for dataset id.</t>
  </si>
  <si>
    <t>Preserve as an external identifier; AIND DataDescription has no project identifier field.</t>
  </si>
  <si>
    <t>diff_scientist</t>
  </si>
  <si>
    <t>Harmonized metadata field for diff scientist.</t>
  </si>
  <si>
    <t>diff_state</t>
  </si>
  <si>
    <t>Harmonized metadata field for diff state.</t>
  </si>
  <si>
    <t>donor_plasmid</t>
  </si>
  <si>
    <t>Harmonized metadata field for donor plasmid.</t>
  </si>
  <si>
    <t>donor_plasmid_batch</t>
  </si>
  <si>
    <t>Harmonized metadata field for donor plasmid batch.</t>
  </si>
  <si>
    <t>ecm_in_media</t>
  </si>
  <si>
    <t>Harmonized metadata field for ecm in media.</t>
  </si>
  <si>
    <t>emt_inducer</t>
  </si>
  <si>
    <t>Harmonized metadata field for emt inducer.</t>
  </si>
  <si>
    <t>experiment_type</t>
  </si>
  <si>
    <t>Harmonized metadata field for experiment type.</t>
  </si>
  <si>
    <t>experimental_condition</t>
  </si>
  <si>
    <t>Harmonized metadata field for experimental condition.</t>
  </si>
  <si>
    <t>fish_type</t>
  </si>
  <si>
    <t>Harmonized metadata field for fish type.</t>
  </si>
  <si>
    <t>glass_coating</t>
  </si>
  <si>
    <t>Harmonized metadata field for glass coating.</t>
  </si>
  <si>
    <t>glass_or_plastic_plate</t>
  </si>
  <si>
    <t>Harmonized metadata field for glass or plastic plate.</t>
  </si>
  <si>
    <t>image_acquisition_parameters</t>
  </si>
  <si>
    <t>Harmonized metadata field for image acquisition parameters.</t>
  </si>
  <si>
    <t>DataStream.configurations[] / notes</t>
  </si>
  <si>
    <t>Structured parameters should populate typed configs; residual text may go to notes.</t>
  </si>
  <si>
    <t>imaging_start_time</t>
  </si>
  <si>
    <t>Harmonized metadata field for imaging start time.</t>
  </si>
  <si>
    <t>acquisition.acquisition_start_time or Image.image_start_time</t>
  </si>
  <si>
    <t>Granularity and timezone require normalization.</t>
  </si>
  <si>
    <t>input_file</t>
  </si>
  <si>
    <t>Harmonized metadata field for input file.</t>
  </si>
  <si>
    <t>processing.data_processes[].code.input_data or dependency_graph</t>
  </si>
  <si>
    <t>Normalize to asset names and explicit processing dependencies.</t>
  </si>
  <si>
    <t>is_aligned</t>
  </si>
  <si>
    <t>Harmonized metadata field for is aligned.</t>
  </si>
  <si>
    <t>is_dual_camera</t>
  </si>
  <si>
    <t>Harmonized metadata field for is dual camera.</t>
  </si>
  <si>
    <t>is_fov</t>
  </si>
  <si>
    <t>Harmonized metadata field for is fov.</t>
  </si>
  <si>
    <t>lumneoid_induction</t>
  </si>
  <si>
    <t>Harmonized metadata field for lumneoid induction.</t>
  </si>
  <si>
    <t>match_criteria</t>
  </si>
  <si>
    <t>Harmonized metadata field for match criteria.</t>
  </si>
  <si>
    <t>matrigel_lot</t>
  </si>
  <si>
    <t>Harmonized metadata field for matrigel lot.</t>
  </si>
  <si>
    <t>media_condition</t>
  </si>
  <si>
    <t>Harmonized metadata field for media condition.</t>
  </si>
  <si>
    <t>movie_id</t>
  </si>
  <si>
    <t>Harmonized metadata field for movie id.</t>
  </si>
  <si>
    <t>name_in_nuc_morph_analysis_repo</t>
  </si>
  <si>
    <t>Harmonized metadata field for name in nuc morph analysis repo.</t>
  </si>
  <si>
    <t>notes</t>
  </si>
  <si>
    <t>Harmonized metadata field for notes.</t>
  </si>
  <si>
    <t>metadata/core-file notes</t>
  </si>
  <si>
    <t>R9</t>
  </si>
  <si>
    <t>Route the note to the most specific core object rather than duplicating it.</t>
  </si>
  <si>
    <t>nuclear_import_inhibitor</t>
  </si>
  <si>
    <t>Harmonized metadata field for nuclear import inhibitor.</t>
  </si>
  <si>
    <t>objective_immersion_medium_refraction_index</t>
  </si>
  <si>
    <t>Harmonized metadata field for objective immersion medium refraction index.</t>
  </si>
  <si>
    <t>organism</t>
  </si>
  <si>
    <t>Scientific name of the source organism.</t>
  </si>
  <si>
    <t>subject.subject_details.species</t>
  </si>
  <si>
    <t>Species can map to NCBI Taxonomy, but AICS cell lines are not AIND Subject instances.</t>
  </si>
  <si>
    <t>original_diff_or_replate</t>
  </si>
  <si>
    <t>Harmonized metadata field for original diff or replate.</t>
  </si>
  <si>
    <t>passage</t>
  </si>
  <si>
    <t>Harmonized metadata field for passage.</t>
  </si>
  <si>
    <t>pipeline_collection</t>
  </si>
  <si>
    <t>Harmonized metadata field for pipeline collection.</t>
  </si>
  <si>
    <t>data_description.tags[]; processing.pipelines[]</t>
  </si>
  <si>
    <t>Meaning must be disambiguated between dataset grouping and processing pipeline.</t>
  </si>
  <si>
    <t>plate_batch</t>
  </si>
  <si>
    <t>Harmonized metadata field for plate batch.</t>
  </si>
  <si>
    <t>plate_status</t>
  </si>
  <si>
    <t>Harmonized metadata field for plate status.</t>
  </si>
  <si>
    <t>preparation_method</t>
  </si>
  <si>
    <t>Harmonized metadata field for preparation method.</t>
  </si>
  <si>
    <t>presence_of_migration</t>
  </si>
  <si>
    <t>Harmonized metadata field for presence of migration.</t>
  </si>
  <si>
    <t>protocol</t>
  </si>
  <si>
    <t>Harmonized metadata field for protocol.</t>
  </si>
  <si>
    <t>protocol_applied</t>
  </si>
  <si>
    <t>Harmonized metadata field for protocol applied.</t>
  </si>
  <si>
    <t>qc_638nm_crop_top_false_clip</t>
  </si>
  <si>
    <t>Harmonized metadata field for qc 638nm crop top false clip.</t>
  </si>
  <si>
    <t>quality_control.metrics[]</t>
  </si>
  <si>
    <t>Create a named QCMetric with modality, stage, value, and status history.</t>
  </si>
  <si>
    <t>qc_brightfield_z_stack_out_of_order</t>
  </si>
  <si>
    <t>Harmonized metadata field for qc brightfield z stack out of order.</t>
  </si>
  <si>
    <t>qc_pass_intensity</t>
  </si>
  <si>
    <t>Harmonized metadata field for qc pass intensity.</t>
  </si>
  <si>
    <t>raw_data_size_gb</t>
  </si>
  <si>
    <t>Harmonized metadata field for raw data size gb.</t>
  </si>
  <si>
    <t>raw_data_type</t>
  </si>
  <si>
    <t>Harmonized metadata field for raw data type.</t>
  </si>
  <si>
    <t>raw_image_data</t>
  </si>
  <si>
    <t>Harmonized metadata field for raw image data.</t>
  </si>
  <si>
    <t>raw_image_processing_method</t>
  </si>
  <si>
    <t>Harmonized metadata field for raw image processing method.</t>
  </si>
  <si>
    <t>segmentation_dimension</t>
  </si>
  <si>
    <t>Harmonized metadata field for segmentation dimension.</t>
  </si>
  <si>
    <t>segmentation_image_data</t>
  </si>
  <si>
    <t>Harmonized metadata field for segmentation image data.</t>
  </si>
  <si>
    <t>segmentation_shape</t>
  </si>
  <si>
    <t>Harmonized metadata field for segmentation shape.</t>
  </si>
  <si>
    <t>segmentation_data_type</t>
  </si>
  <si>
    <t>Harmonized metadata field for segmentation data type.</t>
  </si>
  <si>
    <t>segmentation_image_size</t>
  </si>
  <si>
    <t>Harmonized metadata field for segmentation image size.</t>
  </si>
  <si>
    <t>segmentation_pixel_voxel_size</t>
  </si>
  <si>
    <t>Harmonized metadata field for segmentation pixel voxel size.</t>
  </si>
  <si>
    <t>should_be_in_local_cache</t>
  </si>
  <si>
    <t>Harmonized metadata field for should be in local cache.</t>
  </si>
  <si>
    <t>signal_contrast_mechanism</t>
  </si>
  <si>
    <t>Harmonized metadata field for signal contrast mechanism.</t>
  </si>
  <si>
    <t>data_description.modalities[] / Channel.intended_measurement</t>
  </si>
  <si>
    <t>Map brightfield/confocal when possible; otherwise retain as intended measurement.</t>
  </si>
  <si>
    <t>single_colony_or_lumenoid_at_time_of_migration</t>
  </si>
  <si>
    <t>Harmonized metadata field for single colony or lumenoid at time of migration.</t>
  </si>
  <si>
    <t>stage</t>
  </si>
  <si>
    <t>Harmonized metadata field for stage.</t>
  </si>
  <si>
    <t>study_title</t>
  </si>
  <si>
    <t>Harmonized metadata field for study title.</t>
  </si>
  <si>
    <t>data_description.project_name or data_summary</t>
  </si>
  <si>
    <t>Select one canonical project_name and retain the fuller title in data_summary when different.</t>
  </si>
  <si>
    <t>study_type</t>
  </si>
  <si>
    <t>Harmonized metadata field for study type.</t>
  </si>
  <si>
    <t>No typed study object or study-type field exists.</t>
  </si>
  <si>
    <t>tag_location</t>
  </si>
  <si>
    <t>Harmonized metadata field for tag location.</t>
  </si>
  <si>
    <t>template</t>
  </si>
  <si>
    <t>Harmonized metadata field for template.</t>
  </si>
  <si>
    <t>data_description.tags[] or notes</t>
  </si>
  <si>
    <t>No first-class template field.</t>
  </si>
  <si>
    <t>time_of_perturbation</t>
  </si>
  <si>
    <t>Harmonized metadata field for time of perturbation.</t>
  </si>
  <si>
    <t>timepoints_used_for_basement_membrane_segmentation_training</t>
  </si>
  <si>
    <t>Harmonized metadata field for timepoints used for basement membrane segmentation training.</t>
  </si>
  <si>
    <t>timepoints_used_for_basement_membrane_segmentation_validation</t>
  </si>
  <si>
    <t>Harmonized metadata field for timepoints used for basement membrane segmentation validation.</t>
  </si>
  <si>
    <t>workflow</t>
  </si>
  <si>
    <t>Harmonized metadata field for workflow.</t>
  </si>
  <si>
    <t>acquisition.acquisition_type or processing.pipelines[].name</t>
  </si>
  <si>
    <t>R4/R7</t>
  </si>
  <si>
    <t>Disambiguate acquisition workflow from processing pipeline.</t>
  </si>
  <si>
    <t>cell_line_annotation</t>
  </si>
  <si>
    <t>Nested biological-source annotation associated with an asset.</t>
  </si>
  <si>
    <t>struct&lt;cell_line: string, clone: string, gene: string, protein: string, structure: string, fluorophore: string, catalog_url: string, derivation_status: string, lineage_rule: string&gt;</t>
  </si>
  <si>
    <t>cell_line_genes_search</t>
  </si>
  <si>
    <t>BFF search bridge containing normalized cell line genes values.</t>
  </si>
  <si>
    <t>No portable target (derive from canonical nested metadata)</t>
  </si>
  <si>
    <t>BFF search bridge; do not migrate as an independent AIND field.</t>
  </si>
  <si>
    <t>Search/index layer</t>
  </si>
  <si>
    <t>cell_line_proteins_search</t>
  </si>
  <si>
    <t>BFF search bridge containing normalized cell line proteins values.</t>
  </si>
  <si>
    <t>cell_line_structures_search</t>
  </si>
  <si>
    <t>BFF search bridge containing normalized cell line structures values.</t>
  </si>
  <si>
    <t>cell_line_fluorophores_search</t>
  </si>
  <si>
    <t>BFF search bridge containing normalized cell line fluorophores values.</t>
  </si>
  <si>
    <t>channels</t>
  </si>
  <si>
    <t>Nested channel descriptions associated with an asset.</t>
  </si>
  <si>
    <t>list&lt;element: struct&lt;channel_definition_id: string, channel_number: int64, channel_name: string, illumination_mode: string, light_source_excitation_wavelength_nm: double, fluorophore_or_stain: string, structure: string, protein: string, gene: string, marker: string, derivation_status: string, derivation_notes: string, reference_source: string, reference_url: string, reference_retrieved_at: string, reference_match_rule: string&gt;&gt;</t>
  </si>
  <si>
    <t>channels[]</t>
  </si>
  <si>
    <t>ImagingConfig.channels[]</t>
  </si>
  <si>
    <t>Channel names and excitation map well, but required detector device identity/trigger and full filters are absent.</t>
  </si>
  <si>
    <t>reagents</t>
  </si>
  <si>
    <t>Nested normalized reagent or treatment records.</t>
  </si>
  <si>
    <t>list&lt;element: struct&lt;reagent_index: int64, reagent_name: string, reagent_role: string, working_concentration_value: double, working_concentration_unit: string, comparison_perturbation_name: string, comparison_perturbation_concentration_value: double, comparison_perturbation_concentration_unit: string, treatment_group: string, treatment_time_value: double, treatment_time_unit: string, volume_value: double, volume_unit: string, treatment_start: string, treatment_end: string, treatment_duration_minutes: double, normalization_status: string&gt;&gt;</t>
  </si>
  <si>
    <t>reagents[]</t>
  </si>
  <si>
    <t>outputs</t>
  </si>
  <si>
    <t>Nested derived output and viewer records.</t>
  </si>
  <si>
    <t>list&lt;element: struct&lt;output_type: string, target_or_channel: string, storage_uri: string, download_uri: string, viewer_url: string, algorithm_name: string, algorithm_details: string&gt;&gt;</t>
  </si>
  <si>
    <t>outputs[]</t>
  </si>
  <si>
    <t>channel_names_search</t>
  </si>
  <si>
    <t>BFF search bridge containing normalized channel names values.</t>
  </si>
  <si>
    <t>illumination_modes_search</t>
  </si>
  <si>
    <t>BFF search bridge containing normalized illumination modes values.</t>
  </si>
  <si>
    <t>channel_numbers_search</t>
  </si>
  <si>
    <t>BFF search bridge containing normalized channel numbers values.</t>
  </si>
  <si>
    <t>channel_excitation_wavelengths_nm_search</t>
  </si>
  <si>
    <t>BFF search bridge containing normalized channel excitation wavelengths nm values.</t>
  </si>
  <si>
    <t>fluorophores_or_stains_search</t>
  </si>
  <si>
    <t>BFF search bridge containing normalized fluorophores or stains values.</t>
  </si>
  <si>
    <t>channel_structures_search</t>
  </si>
  <si>
    <t>BFF search bridge containing normalized channel structures values.</t>
  </si>
  <si>
    <t>gene_symbols_search</t>
  </si>
  <si>
    <t>BFF search bridge containing normalized gene symbols values.</t>
  </si>
  <si>
    <t>protein_targets_search</t>
  </si>
  <si>
    <t>BFF search bridge containing normalized protein targets values.</t>
  </si>
  <si>
    <t>channel_markers_search</t>
  </si>
  <si>
    <t>BFF search bridge containing normalized channel markers values.</t>
  </si>
  <si>
    <t>channel_derivation_statuses_search</t>
  </si>
  <si>
    <t>BFF search bridge containing normalized channel derivation statuses values.</t>
  </si>
  <si>
    <t>reagent_names_search</t>
  </si>
  <si>
    <t>BFF search bridge containing normalized reagent names values.</t>
  </si>
  <si>
    <t>reagent_roles_search</t>
  </si>
  <si>
    <t>BFF search bridge containing normalized reagent roles values.</t>
  </si>
  <si>
    <t>comparison_perturbation_names_search</t>
  </si>
  <si>
    <t>BFF search bridge containing normalized comparison perturbation names values.</t>
  </si>
  <si>
    <t>treatment_groups_search</t>
  </si>
  <si>
    <t>BFF search bridge containing normalized treatment groups values.</t>
  </si>
  <si>
    <t>output_types_search</t>
  </si>
  <si>
    <t>BFF search bridge containing normalized output types values.</t>
  </si>
  <si>
    <t>Nested Child-Field Crosswalk</t>
  </si>
  <si>
    <t>All 49 physical child fields inside cell_line_annotation, channels, reagents, and outputs.</t>
  </si>
  <si>
    <t>AICS class</t>
  </si>
  <si>
    <t>Child field</t>
  </si>
  <si>
    <t>Unit</t>
  </si>
  <si>
    <t>ChannelDescription</t>
  </si>
  <si>
    <t>channel_definition_id</t>
  </si>
  <si>
    <t>Foreign key to a reusable channel definition.</t>
  </si>
  <si>
    <t>No first-class channel identifier/index</t>
  </si>
  <si>
    <t>R4/R9</t>
  </si>
  <si>
    <t>Retain as an extension or search/index identifier.</t>
  </si>
  <si>
    <t>channel_number</t>
  </si>
  <si>
    <t>One-based acquisition order when supplied or source-supported.</t>
  </si>
  <si>
    <t>channel_name</t>
  </si>
  <si>
    <t>Normalized channel name, generally structure_fluorophore.</t>
  </si>
  <si>
    <t>recommended</t>
  </si>
  <si>
    <t>ImagingConfig.channels[].channel_name</t>
  </si>
  <si>
    <t>Direct channel-name mapping.</t>
  </si>
  <si>
    <t>illumination_mode</t>
  </si>
  <si>
    <t>Controlled illumination mode used for acquisition.</t>
  </si>
  <si>
    <t>DataStream.modalities / Channel.light_sources</t>
  </si>
  <si>
    <t>Map to a controlled modality and typed light-source configuration.</t>
  </si>
  <si>
    <t>light_source_excitation_wavelength_nm</t>
  </si>
  <si>
    <t>Peak excitation light-source wavelength in nanometers.</t>
  </si>
  <si>
    <t>nanometer</t>
  </si>
  <si>
    <t>Channel.light_sources[LaserConfig].wavelength</t>
  </si>
  <si>
    <t>Supply nanometers as the explicit wavelength unit.</t>
  </si>
  <si>
    <t>fluorophore_or_stain</t>
  </si>
  <si>
    <t>Fluorescent protein, fluorophore, or stain represented in a channel.</t>
  </si>
  <si>
    <t>Channel.intended_measurement; optional FluorescentReagent/targeted_structure</t>
  </si>
  <si>
    <t>AIND intended_measurement is a single semantic slot; the AICS channel annotation is richer.</t>
  </si>
  <si>
    <t>protein</t>
  </si>
  <si>
    <t>Protein target associated with a channel or cell-line annotation.</t>
  </si>
  <si>
    <t>gene</t>
  </si>
  <si>
    <t>Case-preserved gene symbol associated with a channel or cell-line annotation.</t>
  </si>
  <si>
    <t>marker</t>
  </si>
  <si>
    <t>Assay marker or probe label associated with a channel.</t>
  </si>
  <si>
    <t>derivation_status</t>
  </si>
  <si>
    <t>Controlled provenance status for a normalized or enriched value.</t>
  </si>
  <si>
    <t>Channel notes / governed provenance extension</t>
  </si>
  <si>
    <t>Reference and derivation metadata are not first-class Channel properties.</t>
  </si>
  <si>
    <t>derivation_notes</t>
  </si>
  <si>
    <t>Human-readable explanation of the derivation or unresolved state.</t>
  </si>
  <si>
    <t>reference_source</t>
  </si>
  <si>
    <t>Source used for a lookup-derived assertion.</t>
  </si>
  <si>
    <t>reference_url</t>
  </si>
  <si>
    <t>URL of a reference used for a lookup-derived assertion.</t>
  </si>
  <si>
    <t>reference_retrieved_at</t>
  </si>
  <si>
    <t>Date on which the reference was accessed.</t>
  </si>
  <si>
    <t>reference_match_rule</t>
  </si>
  <si>
    <t>Rule used to match a reference to this record.</t>
  </si>
  <si>
    <t>CellLineAnnotation</t>
  </si>
  <si>
    <t>Cell-line/specimen extension</t>
  </si>
  <si>
    <t>No AIND v2.9.0 cell-line identity or clone-lineage object.</t>
  </si>
  <si>
    <t>Channel.intended_measurement / targeted_structure / FluorescentReagent</t>
  </si>
  <si>
    <t>R2/R4</t>
  </si>
  <si>
    <t>The value may describe specimen identity or an acquired channel; context must be preserved.</t>
  </si>
  <si>
    <t>fluorophore</t>
  </si>
  <si>
    <t>Harmonized metadata field for fluorophore.</t>
  </si>
  <si>
    <t>catalog_url</t>
  </si>
  <si>
    <t>Harmonized metadata field for catalog url.</t>
  </si>
  <si>
    <t>Governed extension / provenance</t>
  </si>
  <si>
    <t>R2/R9</t>
  </si>
  <si>
    <t>Catalog and derivation provenance have no dedicated AIND field on a cell-line object.</t>
  </si>
  <si>
    <t>lineage_rule</t>
  </si>
  <si>
    <t>Harmonized metadata field for lineage rule.</t>
  </si>
  <si>
    <t>Reagent</t>
  </si>
  <si>
    <t>reagent_index</t>
  </si>
  <si>
    <t>Harmonized metadata field for reagent index.</t>
  </si>
  <si>
    <t>No first-class reagent index</t>
  </si>
  <si>
    <t>Ordering/indexing belongs to the source or migration layer.</t>
  </si>
  <si>
    <t>reagent_name</t>
  </si>
  <si>
    <t>Harmonized metadata field for reagent name.</t>
  </si>
  <si>
    <t>SpecimenProcedure.procedure_details[Reagent].name</t>
  </si>
  <si>
    <t>AIND Reagent also requires source, which is absent from the public view.</t>
  </si>
  <si>
    <t>reagent_role</t>
  </si>
  <si>
    <t>Harmonized metadata field for reagent role.</t>
  </si>
  <si>
    <t>SpecimenProcedure.protocol_parameters/procedure_details</t>
  </si>
  <si>
    <t>AIND Reagent lacks role, concentration, volume, comparison-arm, and normalization fields.</t>
  </si>
  <si>
    <t>working_concentration_value</t>
  </si>
  <si>
    <t>Harmonized metadata field for working concentration value.</t>
  </si>
  <si>
    <t>working_concentration_unit</t>
  </si>
  <si>
    <t>Harmonized metadata field for working concentration unit.</t>
  </si>
  <si>
    <t>comparison_perturbation_name</t>
  </si>
  <si>
    <t>Drug condition paired with a vehicle-control reagent entry.</t>
  </si>
  <si>
    <t>comparison_perturbation_concentration_value</t>
  </si>
  <si>
    <t>Concentration of the paired drug condition for a vehicle control.</t>
  </si>
  <si>
    <t>comparison_perturbation_concentration_unit</t>
  </si>
  <si>
    <t>Unit for the paired drug-condition concentration.</t>
  </si>
  <si>
    <t>treatment_group</t>
  </si>
  <si>
    <t>Controlled treatment assignment: drug or vehicle.</t>
  </si>
  <si>
    <t>treatment_time_value</t>
  </si>
  <si>
    <t>Elapsed treatment time represented as a numeric value.</t>
  </si>
  <si>
    <t>treatment_time_unit</t>
  </si>
  <si>
    <t>Unit for the elapsed treatment time.</t>
  </si>
  <si>
    <t>volume_value</t>
  </si>
  <si>
    <t>Harmonized metadata field for volume value.</t>
  </si>
  <si>
    <t>volume_unit</t>
  </si>
  <si>
    <t>Harmonized metadata field for volume unit.</t>
  </si>
  <si>
    <t>treatment_start</t>
  </si>
  <si>
    <t>Harmonized metadata field for treatment start.</t>
  </si>
  <si>
    <t>Acquisition.manipulations[].start_time/end_time or SpecimenProcedure dates</t>
  </si>
  <si>
    <t>Placement depends on whether treatment occurred during acquisition or specimen preparation.</t>
  </si>
  <si>
    <t>treatment_end</t>
  </si>
  <si>
    <t>Harmonized metadata field for treatment end.</t>
  </si>
  <si>
    <t>treatment_duration_minutes</t>
  </si>
  <si>
    <t>Harmonized metadata field for treatment duration minutes.</t>
  </si>
  <si>
    <t>minute</t>
  </si>
  <si>
    <t>normalization_status</t>
  </si>
  <si>
    <t>Harmonized metadata field for normalization status.</t>
  </si>
  <si>
    <t>Output</t>
  </si>
  <si>
    <t>output_type</t>
  </si>
  <si>
    <t>Harmonized metadata field for output type.</t>
  </si>
  <si>
    <t>DataProcess.process_type/output_parameters</t>
  </si>
  <si>
    <t>Normalize the AICS output vocabulary to process and output semantics.</t>
  </si>
  <si>
    <t>target_or_channel</t>
  </si>
  <si>
    <t>Harmonized metadata field for target or channel.</t>
  </si>
  <si>
    <t>DataProcess.output_parameters</t>
  </si>
  <si>
    <t>Retain as a typed output parameter.</t>
  </si>
  <si>
    <t>storage_uri</t>
  </si>
  <si>
    <t>Harmonized metadata field for storage uri.</t>
  </si>
  <si>
    <t>DataProcess.output_path</t>
  </si>
  <si>
    <t>Direct path mapping when the output belongs to the corresponding process.</t>
  </si>
  <si>
    <t>download_uri</t>
  </si>
  <si>
    <t>Harmonized metadata field for download uri.</t>
  </si>
  <si>
    <t>metadata.other_identifiers[] or registry platform</t>
  </si>
  <si>
    <t>R5/R9</t>
  </si>
  <si>
    <t>AIND has no dedicated download/viewer URL on DataProcess outputs.</t>
  </si>
  <si>
    <t>viewer_url</t>
  </si>
  <si>
    <t>Harmonized metadata field for viewer url.</t>
  </si>
  <si>
    <t>algorithm_name</t>
  </si>
  <si>
    <t>Harmonized metadata field for algorithm name.</t>
  </si>
  <si>
    <t>DataProcess.code.name</t>
  </si>
  <si>
    <t>Code.url remains required for a valid reproducible Code record.</t>
  </si>
  <si>
    <t>algorithm_details</t>
  </si>
  <si>
    <t>Harmonized metadata field for algorithm details.</t>
  </si>
  <si>
    <t>DataProcess.code.parameters / notes</t>
  </si>
  <si>
    <t>Split executable parameters from narrative details and add code URL/version.</t>
  </si>
  <si>
    <t>AIND Required-Field Gap Inventory</t>
  </si>
  <si>
    <t>Required and conditionally required fields for the intended in-vitro imaging pathway; readiness is structural, not a row-level completeness score.</t>
  </si>
  <si>
    <t>AIND field</t>
  </si>
  <si>
    <t>Closest AICS evidence</t>
  </si>
  <si>
    <t>Coverage</t>
  </si>
  <si>
    <t>Gap statement</t>
  </si>
  <si>
    <t>metadata.name</t>
  </si>
  <si>
    <t>Required</t>
  </si>
  <si>
    <t>file_name / acquisition_group_id</t>
  </si>
  <si>
    <t>AIND asset name is acquisition-level; AICS identifiers are file-row-level.</t>
  </si>
  <si>
    <t>metadata.location</t>
  </si>
  <si>
    <t>AICS path points to one file; AIND location points to the data asset root.</t>
  </si>
  <si>
    <t>uploaded_at; imaging_at</t>
  </si>
  <si>
    <t>Ambiguous</t>
  </si>
  <si>
    <t>Upload, acquisition, and asset-creation time are not interchangeable.</t>
  </si>
  <si>
    <t>data_description.institution</t>
  </si>
  <si>
    <t>None</t>
  </si>
  <si>
    <t>Missing</t>
  </si>
  <si>
    <t>No collecting institution field in the supplied view.</t>
  </si>
  <si>
    <t>data_description.funding_source</t>
  </si>
  <si>
    <t>No funder/grant metadata.</t>
  </si>
  <si>
    <t>AICS role vocabulary is more granular than AIND raw/derived levels.</t>
  </si>
  <si>
    <t>data_description.investigators</t>
  </si>
  <si>
    <t>diff_scientist; uploaded_by</t>
  </si>
  <si>
    <t>Roles and persistent person identifiers are absent.</t>
  </si>
  <si>
    <t>dataset_name; study_title</t>
  </si>
  <si>
    <t>A canonical mapping between dataset and project is not declared.</t>
  </si>
  <si>
    <t>data_description.modalities</t>
  </si>
  <si>
    <t>acquisition_type; signal_contrast_mechanism; channels</t>
  </si>
  <si>
    <t>Derivable</t>
  </si>
  <si>
    <t>Must map source values to the AIND modality registry.</t>
  </si>
  <si>
    <t>acquisition.subject_id</t>
  </si>
  <si>
    <t>cell_line / parental_cell_line</t>
  </si>
  <si>
    <t>Semantic mismatch</t>
  </si>
  <si>
    <t>A cell line is not an AIND live Subject instance.</t>
  </si>
  <si>
    <t>acquisition.specimen_id</t>
  </si>
  <si>
    <t>Required for in vitro</t>
  </si>
  <si>
    <t>None; could be derived</t>
  </si>
  <si>
    <t>Stable specimen identity and derivation rules must be defined.</t>
  </si>
  <si>
    <t>imaging_at; imaging_start_time</t>
  </si>
  <si>
    <t>Coverage, time precision, and timezone need validation.</t>
  </si>
  <si>
    <t>acquisition.acquisition_end_time</t>
  </si>
  <si>
    <t>Derivable only sometimes</t>
  </si>
  <si>
    <t>Requires reliable start time plus duration; otherwise absent.</t>
  </si>
  <si>
    <t>Available</t>
  </si>
  <si>
    <t>Normalize values consistently.</t>
  </si>
  <si>
    <t>acquisition.data_streams</t>
  </si>
  <si>
    <t>channels; instrument fields</t>
  </si>
  <si>
    <t>Constructible in part</t>
  </si>
  <si>
    <t>Needs stream boundaries, modalities, active devices, and typed configurations.</t>
  </si>
  <si>
    <t>DataStream.stream_start_time</t>
  </si>
  <si>
    <t>Required when DataStream used</t>
  </si>
  <si>
    <t>Timezone and per-stream boundaries are not explicit.</t>
  </si>
  <si>
    <t>DataStream.stream_end_time</t>
  </si>
  <si>
    <t>No direct end timestamp.</t>
  </si>
  <si>
    <t>DataStream.modalities</t>
  </si>
  <si>
    <t>signal_contrast_mechanism; channels</t>
  </si>
  <si>
    <t>Controlled-vocabulary mapping required.</t>
  </si>
  <si>
    <t>DataStream.active_devices</t>
  </si>
  <si>
    <t>instrument_name; objective_model</t>
  </si>
  <si>
    <t>AIND requires names matching Instrument components; camera/light-source names are missing.</t>
  </si>
  <si>
    <t>DataStream.configurations</t>
  </si>
  <si>
    <t>channels; exposure; laser power</t>
  </si>
  <si>
    <t>Typed configs can be built only after device identities and trigger information are supplied.</t>
  </si>
  <si>
    <t>instrument.instrument_id</t>
  </si>
  <si>
    <t>Required when Instrument emitted</t>
  </si>
  <si>
    <t>Validate stable identifiers and agreement with acquisition.</t>
  </si>
  <si>
    <t>instrument.modification_date</t>
  </si>
  <si>
    <t>No hardware configuration effective/modification date.</t>
  </si>
  <si>
    <t>instrument.modalities</t>
  </si>
  <si>
    <t>signal_contrast_mechanism; workflow</t>
  </si>
  <si>
    <t>instrument.global_coordinate_system</t>
  </si>
  <si>
    <t>Insufficient</t>
  </si>
  <si>
    <t>A matrix alone does not define origins, axes, and device coordinate systems.</t>
  </si>
  <si>
    <t>instrument.components</t>
  </si>
  <si>
    <t>microscope/objective attributes</t>
  </si>
  <si>
    <t>Camera, detector, laser, serial, manufacturer, and stable device names are incomplete.</t>
  </si>
  <si>
    <t>Objective.name</t>
  </si>
  <si>
    <t>Required when Objective emitted</t>
  </si>
  <si>
    <t>A stable device name must be generated separately from model.</t>
  </si>
  <si>
    <t>Objective.numerical_aperture</t>
  </si>
  <si>
    <t>Direct numeric mapping.</t>
  </si>
  <si>
    <t>Objective.magnification</t>
  </si>
  <si>
    <t>Objective.immersion</t>
  </si>
  <si>
    <t>Vocabulary normalization required.</t>
  </si>
  <si>
    <t>ImagingConfig.device_name</t>
  </si>
  <si>
    <t>Required when ImagingConfig used</t>
  </si>
  <si>
    <t>Must match an Instrument component name, not merely a system label.</t>
  </si>
  <si>
    <t>ImagingConfig.channels</t>
  </si>
  <si>
    <t>Detector identities and configs are incomplete.</t>
  </si>
  <si>
    <t>ImagingConfig.images</t>
  </si>
  <si>
    <t>file_name plus image dimensions</t>
  </si>
  <si>
    <t>Generic image type/axis model does not align cleanly with TCZYX files.</t>
  </si>
  <si>
    <t>Channel.detector</t>
  </si>
  <si>
    <t>Required for every Channel</t>
  </si>
  <si>
    <t>exposure_time_ms; binning</t>
  </si>
  <si>
    <t>Missing identity</t>
  </si>
  <si>
    <t>DetectorConfig requires a device_name and trigger_type not supplied in the view.</t>
  </si>
  <si>
    <t>processing.data_processes</t>
  </si>
  <si>
    <t>Required when Processing emitted</t>
  </si>
  <si>
    <t>analysis/segmentation/output fields</t>
  </si>
  <si>
    <t>Process records need ordering, stage, code, experimenters, and timestamps.</t>
  </si>
  <si>
    <t>DataProcess.code.url</t>
  </si>
  <si>
    <t>Required for each DataProcess Code</t>
  </si>
  <si>
    <t>Algorithm name is insufficient for reproducibility.</t>
  </si>
  <si>
    <t>DataProcess.experimenters</t>
  </si>
  <si>
    <t>Required for each DataProcess</t>
  </si>
  <si>
    <t>diff_scientist (limited)</t>
  </si>
  <si>
    <t>Coverage and role/persistent identity are insufficient.</t>
  </si>
  <si>
    <t>DataProcess.start_date_time</t>
  </si>
  <si>
    <t>Date may lack time and timezone.</t>
  </si>
  <si>
    <t>quality_control.metrics</t>
  </si>
  <si>
    <t>Required when QC emitted</t>
  </si>
  <si>
    <t>qc_* fields; source_qc_flag</t>
  </si>
  <si>
    <t>Each metric also needs name, modality, stage, and value.</t>
  </si>
  <si>
    <t>quality_control.default_grouping</t>
  </si>
  <si>
    <t>Grouping policy must be defined for generated metrics.</t>
  </si>
  <si>
    <t>procedures.subject_id</t>
  </si>
  <si>
    <t>Required when Procedures emitted</t>
  </si>
  <si>
    <t>cell_line / derived specimen identity</t>
  </si>
  <si>
    <t>No compatible AIND subject record for a cell line.</t>
  </si>
  <si>
    <t>SpecimenProcedure.procedure_type</t>
  </si>
  <si>
    <t>Required when used</t>
  </si>
  <si>
    <t>preparation_method; protocol_applied</t>
  </si>
  <si>
    <t>AICS culture/preparation concepts need a governed mapping to AIND types.</t>
  </si>
  <si>
    <t>SpecimenProcedure.start_date/end_date</t>
  </si>
  <si>
    <t>seeding/fixation/replate dates</t>
  </si>
  <si>
    <t>Not every procedure has both boundaries; time granularity varies.</t>
  </si>
  <si>
    <t>Recommendations</t>
  </si>
  <si>
    <t>Prioritized actions derived from the full field and required-gap matrices.</t>
  </si>
  <si>
    <t>ID</t>
  </si>
  <si>
    <t>Primary layer</t>
  </si>
  <si>
    <t>Priority</t>
  </si>
  <si>
    <t>Acceptance focus</t>
  </si>
  <si>
    <t>Define the AIND asset boundary and aggregation contract</t>
  </si>
  <si>
    <t>Onboarding + file manifest</t>
  </si>
  <si>
    <t>Blocker</t>
  </si>
  <si>
    <t>Group file rows into acquisition-level assets; preserve per-file identity and paths.</t>
  </si>
  <si>
    <t>Create a cell-line/specimen identity profile</t>
  </si>
  <si>
    <t>Schema/profile</t>
  </si>
  <si>
    <t>Define stable specimen IDs and cell-line, clone, organism, catalog, and lineage semantics.</t>
  </si>
  <si>
    <t>Model plate, well, and experimental design explicitly</t>
  </si>
  <si>
    <t>Profile/platform</t>
  </si>
  <si>
    <t>Preserve plate/well/layout/condition as typed entities or governed profile fields.</t>
  </si>
  <si>
    <t>Build an AICS microscopy Instrument/Acquisition profile</t>
  </si>
  <si>
    <t>Schema/profile + onboarding</t>
  </si>
  <si>
    <t>Require timing, timezone, named devices, detector trigger, modality, channels, and coordinate systems.</t>
  </si>
  <si>
    <t>Add a governed file and image manifest</t>
  </si>
  <si>
    <t>Platform/profile</t>
  </si>
  <si>
    <t>Carry file format, size, TCZYX shape, axes, voxel spacing, scene/FOV, and previews.</t>
  </si>
  <si>
    <t>Normalize culture, preparation, and treatment events</t>
  </si>
  <si>
    <t>Construct ordered specimen procedures/manipulations with typed reagents, values, units, and timing.</t>
  </si>
  <si>
    <t>Construct reproducible Processing and lineage records</t>
  </si>
  <si>
    <t>Onboarding</t>
  </si>
  <si>
    <t>Add code URL/version, actors, timestamps, inputs, outputs, and dependency graph.</t>
  </si>
  <si>
    <t>Normalize QC into QCMetric objects</t>
  </si>
  <si>
    <t>Onboarding/profile</t>
  </si>
  <si>
    <t>Define metric names, modality, stage, value, grouping, and status history.</t>
  </si>
  <si>
    <t>Separate portable metadata from index/platform concerns</t>
  </si>
  <si>
    <t>Platform governance</t>
  </si>
  <si>
    <t>Regenerate search bridges; retain lifecycle, previews, and cache state outside portable JSON.</t>
  </si>
  <si>
    <t>Supply administrative and version-governance metadata</t>
  </si>
  <si>
    <t>Dataset governance</t>
  </si>
  <si>
    <t>Add institution, funding, investigators, creation semantics, project mapping, and pinned version policy.</t>
  </si>
  <si>
    <t>README and Method</t>
  </si>
  <si>
    <t>How to interpret, audit, and update this workbook.</t>
  </si>
  <si>
    <t>Workbook scope</t>
  </si>
  <si>
    <t>AICS candidate schema 0.6.0 slim REMBI-categorized primary-image view compared with aind-data-schema v2.9.0.</t>
  </si>
  <si>
    <t>Source shape</t>
  </si>
  <si>
    <t>33,184 rows; 186 top-level fields; four nested structures with 49 physical child fields.</t>
  </si>
  <si>
    <t>Individual field meaning aligns. The surrounding AIND object may still lack other required fields.</t>
  </si>
  <si>
    <t>A destination exists, but meaning, granularity, cardinality, or required context differs.</t>
  </si>
  <si>
    <t>Value can be retained in parameters/notes/additional settings without first-class semantics.</t>
  </si>
  <si>
    <t>AIND v2.9.0 lacks the scientific construct.</t>
  </si>
  <si>
    <t>Belongs in a file inventory, storage/index service, lifecycle, or preview layer.</t>
  </si>
  <si>
    <t>Flattened discovery field that should be regenerated from canonical nested values.</t>
  </si>
  <si>
    <t>Required-gap inventory</t>
  </si>
  <si>
    <t>Evaluates required and conditionally required AIND fields for an in-vitro imaging package; not a row-level completeness percentage.</t>
  </si>
  <si>
    <t>Primary reference</t>
  </si>
  <si>
    <t>Documentation</t>
  </si>
  <si>
    <t>https://aind-data-schema.readthedocs.io/en/latest/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</si>
</sst>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9">
    <font>
      <sz val="11"/>
      <name val="Carlito"/>
    </font>
    <font>
      <b/>
      <sz val="18"/>
      <color rgb="FFFFFFFF"/>
      <name val="Carlito"/>
    </font>
    <font>
      <i/>
      <sz val="10"/>
      <color rgb="FF202124"/>
      <name val="Carlito"/>
    </font>
    <font>
      <b/>
      <sz val="11"/>
      <color rgb="FF1F3864"/>
      <name val="Carlito"/>
    </font>
    <font>
      <b/>
      <sz val="10"/>
      <color rgb="FFFFFFFF"/>
      <name val="Carlito"/>
    </font>
    <font>
      <b/>
      <sz val="11"/>
      <color rgb="FFFFFFFF"/>
      <name val="Carlito"/>
    </font>
    <font>
      <sz val="10"/>
      <color rgb="FF202124"/>
      <name val="Carlito"/>
    </font>
    <font>
      <sz val="9"/>
      <color rgb="FF202124"/>
      <name val="Carlito"/>
    </font>
    <font>
      <sz val="11"/>
      <color rgb="FF202124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7EFF8"/>
      </patternFill>
    </fill>
    <fill>
      <patternFill patternType="solid">
        <fgColor rgb="FFDCE6F1"/>
      </patternFill>
    </fill>
    <fill>
      <patternFill patternType="solid">
        <fgColor rgb="FF2E5A88"/>
      </patternFill>
    </fill>
  </fills>
  <borders count="10">
    <border>
      <left/>
      <right/>
      <top/>
      <bottom/>
      <diagonal/>
    </border>
    <border>
      <left style="thin">
        <color rgb="FFB4C7E7"/>
      </left>
      <right/>
      <top style="thin">
        <color rgb="FFB4C7E7"/>
      </top>
      <bottom/>
      <diagonal/>
    </border>
    <border>
      <left/>
      <right style="thin">
        <color rgb="FFB4C7E7"/>
      </right>
      <top style="thin">
        <color rgb="FFB4C7E7"/>
      </top>
      <bottom/>
      <diagonal/>
    </border>
    <border>
      <left style="thin">
        <color rgb="FFB4C7E7"/>
      </left>
      <right/>
      <top/>
      <bottom/>
      <diagonal/>
    </border>
    <border>
      <left/>
      <right style="thin">
        <color rgb="FFB4C7E7"/>
      </right>
      <top/>
      <bottom/>
      <diagonal/>
    </border>
    <border>
      <left style="thin">
        <color rgb="FFB4C7E7"/>
      </left>
      <right/>
      <top/>
      <bottom style="thin">
        <color rgb="FFB4C7E7"/>
      </bottom>
      <diagonal/>
    </border>
    <border>
      <left/>
      <right style="thin">
        <color rgb="FFB4C7E7"/>
      </right>
      <top/>
      <bottom style="thin">
        <color rgb="FFB4C7E7"/>
      </bottom>
      <diagonal/>
    </border>
    <border>
      <left style="thin">
        <color rgb="FFB4C7E7"/>
      </left>
      <right/>
      <top style="thin">
        <color rgb="FFB4C7E7"/>
      </top>
      <bottom style="thin">
        <color rgb="FFB4C7E7"/>
      </bottom>
      <diagonal/>
    </border>
    <border>
      <left/>
      <right/>
      <top style="thin">
        <color rgb="FFB4C7E7"/>
      </top>
      <bottom style="thin">
        <color rgb="FFB4C7E7"/>
      </bottom>
      <diagonal/>
    </border>
    <border>
      <left/>
      <right style="thin">
        <color rgb="FFB4C7E7"/>
      </right>
      <top style="thin">
        <color rgb="FFB4C7E7"/>
      </top>
      <bottom style="thin">
        <color rgb="FFB4C7E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4" borderId="1" xfId="0" applyFont="1" applyFill="1" applyBorder="1"/>
    <xf numFmtId="0" fontId="3" fillId="4" borderId="3" xfId="0" applyFont="1" applyFill="1" applyBorder="1"/>
    <xf numFmtId="0" fontId="0" fillId="0" borderId="4" xfId="0" applyBorder="1"/>
    <xf numFmtId="0" fontId="3" fillId="4" borderId="5" xfId="0" applyFont="1" applyFill="1" applyBorder="1"/>
    <xf numFmtId="3" fontId="0" fillId="0" borderId="2" xfId="0" applyNumberFormat="1" applyBorder="1"/>
    <xf numFmtId="3" fontId="0" fillId="0" borderId="4" xfId="0" applyNumberFormat="1" applyBorder="1"/>
    <xf numFmtId="164" fontId="0" fillId="0" borderId="6" xfId="0" applyNumberFormat="1" applyBorder="1"/>
    <xf numFmtId="0" fontId="4" fillId="2" borderId="7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3" fontId="0" fillId="0" borderId="0" xfId="0" applyNumberFormat="1"/>
    <xf numFmtId="165" fontId="0" fillId="0" borderId="0" xfId="0" applyNumberFormat="1"/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3" fillId="4" borderId="1" xfId="0" applyFont="1" applyFill="1" applyBorder="1" applyAlignment="1">
      <alignment vertical="top"/>
    </xf>
    <xf numFmtId="0" fontId="8" fillId="0" borderId="2" xfId="0" applyFont="1" applyBorder="1" applyAlignment="1">
      <alignment vertical="top" wrapText="1"/>
    </xf>
    <xf numFmtId="0" fontId="3" fillId="4" borderId="3" xfId="0" applyFont="1" applyFill="1" applyBorder="1" applyAlignment="1">
      <alignment vertical="top"/>
    </xf>
    <xf numFmtId="0" fontId="8" fillId="0" borderId="4" xfId="0" applyFont="1" applyBorder="1" applyAlignment="1">
      <alignment vertical="top" wrapText="1"/>
    </xf>
    <xf numFmtId="0" fontId="3" fillId="4" borderId="5" xfId="0" applyFont="1" applyFill="1" applyBorder="1" applyAlignment="1">
      <alignment vertical="top"/>
    </xf>
    <xf numFmtId="0" fontId="8" fillId="0" borderId="6" xfId="0" applyFont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6" fillId="3" borderId="0" xfId="0" applyFont="1" applyFill="1" applyAlignment="1">
      <alignment vertical="top" wrapText="1"/>
    </xf>
    <xf numFmtId="0" fontId="5" fillId="5" borderId="0" xfId="0" applyFont="1" applyFill="1" applyAlignment="1"/>
  </cellXfs>
  <cellStyles count="1">
    <cellStyle name="Normal" xfId="0" builtinId="0"/>
  </cellStyles>
  <dxfs count="33"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8A5A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8A5A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8A5A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4C3475"/>
      </font>
      <fill>
        <patternFill patternType="solid">
          <bgColor rgb="FFE4DFEC"/>
        </patternFill>
      </fill>
    </dxf>
    <dxf>
      <font>
        <b/>
        <color rgb="FF202124"/>
      </font>
      <fill>
        <patternFill patternType="solid">
          <bgColor rgb="FFE7E6E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1F3864"/>
      </font>
      <fill>
        <patternFill patternType="solid">
          <bgColor rgb="FFDDEBF7"/>
        </patternFill>
      </fill>
    </dxf>
    <dxf>
      <font>
        <b/>
        <color rgb="FF8A5A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8A5A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4C3475"/>
      </font>
      <fill>
        <patternFill patternType="solid">
          <bgColor rgb="FFE4DFEC"/>
        </patternFill>
      </fill>
    </dxf>
    <dxf>
      <font>
        <b/>
        <color rgb="FF202124"/>
      </font>
      <fill>
        <patternFill patternType="solid">
          <bgColor rgb="FFE7E6E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1F3864"/>
      </font>
      <fill>
        <patternFill patternType="solid">
          <bgColor rgb="FFDDEBF7"/>
        </patternFill>
      </fill>
    </dxf>
    <dxf>
      <font>
        <b/>
        <color rgb="FF8A5A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8A5A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4C3475"/>
      </font>
      <fill>
        <patternFill patternType="solid">
          <bgColor rgb="FFE4DFEC"/>
        </patternFill>
      </fill>
    </dxf>
    <dxf>
      <font>
        <b/>
        <color rgb="FF202124"/>
      </font>
      <fill>
        <patternFill patternType="solid">
          <bgColor rgb="FFE7E6E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1F3864"/>
      </font>
      <fill>
        <patternFill patternType="solid">
          <bgColor rgb="FFDDEBF7"/>
        </patternFill>
      </fill>
    </dxf>
    <dxf>
      <font>
        <b/>
        <color rgb="FF8A5A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pLevelCrosswalkTable" displayName="TopLevelCrosswalkTable" ref="A3:N189" totalsRowShown="0">
  <autoFilter ref="A3:N189" xr:uid="{00000000-0009-0000-0100-000001000000}"/>
  <tableColumns count="14">
    <tableColumn id="1" xr3:uid="{00000000-0010-0000-0000-000001000000}" name="AICS field"/>
    <tableColumn id="2" xr3:uid="{00000000-0010-0000-0000-000002000000}" name="AICS category"/>
    <tableColumn id="3" xr3:uid="{00000000-0010-0000-0000-000003000000}" name="Description"/>
    <tableColumn id="4" xr3:uid="{00000000-0010-0000-0000-000004000000}" name="AICS type"/>
    <tableColumn id="5" xr3:uid="{00000000-0010-0000-0000-000005000000}" name="Requirement"/>
    <tableColumn id="6" xr3:uid="{00000000-0010-0000-0000-000006000000}" name="Nested path"/>
    <tableColumn id="7" xr3:uid="{00000000-0010-0000-0000-000007000000}" name="AIND target"/>
    <tableColumn id="8" xr3:uid="{00000000-0010-0000-0000-000008000000}" name="Mapping status"/>
    <tableColumn id="9" xr3:uid="{00000000-0010-0000-0000-000009000000}" name="Severity"/>
    <tableColumn id="10" xr3:uid="{00000000-0010-0000-0000-00000A000000}" name="Recommendation"/>
    <tableColumn id="11" xr3:uid="{00000000-0010-0000-0000-00000B000000}" name="Mapping note"/>
    <tableColumn id="12" xr3:uid="{00000000-0010-0000-0000-00000C000000}" name="Resolution layer"/>
    <tableColumn id="13" xr3:uid="{00000000-0010-0000-0000-00000D000000}" name="Reference version"/>
    <tableColumn id="14" xr3:uid="{00000000-0010-0000-0000-00000E000000}" name="Reference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estedChildCrosswalkTable" displayName="NestedChildCrosswalkTable" ref="A3:N52" totalsRowShown="0">
  <autoFilter ref="A3:N52" xr:uid="{00000000-0009-0000-0100-000002000000}"/>
  <tableColumns count="14">
    <tableColumn id="1" xr3:uid="{00000000-0010-0000-0100-000001000000}" name="AICS class"/>
    <tableColumn id="2" xr3:uid="{00000000-0010-0000-0100-000002000000}" name="Child field"/>
    <tableColumn id="3" xr3:uid="{00000000-0010-0000-0100-000003000000}" name="Description"/>
    <tableColumn id="4" xr3:uid="{00000000-0010-0000-0100-000004000000}" name="AICS type"/>
    <tableColumn id="5" xr3:uid="{00000000-0010-0000-0100-000005000000}" name="Requirement"/>
    <tableColumn id="6" xr3:uid="{00000000-0010-0000-0100-000006000000}" name="Unit"/>
    <tableColumn id="7" xr3:uid="{00000000-0010-0000-0100-000007000000}" name="AIND target"/>
    <tableColumn id="8" xr3:uid="{00000000-0010-0000-0100-000008000000}" name="Mapping status"/>
    <tableColumn id="9" xr3:uid="{00000000-0010-0000-0100-000009000000}" name="Severity"/>
    <tableColumn id="10" xr3:uid="{00000000-0010-0000-0100-00000A000000}" name="Recommendation"/>
    <tableColumn id="11" xr3:uid="{00000000-0010-0000-0100-00000B000000}" name="Mapping note"/>
    <tableColumn id="12" xr3:uid="{00000000-0010-0000-0100-00000C000000}" name="Resolution layer"/>
    <tableColumn id="13" xr3:uid="{00000000-0010-0000-0100-00000D000000}" name="Reference version"/>
    <tableColumn id="14" xr3:uid="{00000000-0010-0000-0100-00000E000000}" name="Reference 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INDRequiredGapsTable" displayName="AINDRequiredGapsTable" ref="A3:H45" totalsRowShown="0">
  <autoFilter ref="A3:H45" xr:uid="{00000000-0009-0000-0100-000003000000}"/>
  <tableColumns count="8">
    <tableColumn id="1" xr3:uid="{00000000-0010-0000-0200-000001000000}" name="AIND field"/>
    <tableColumn id="2" xr3:uid="{00000000-0010-0000-0200-000002000000}" name="Requirement"/>
    <tableColumn id="3" xr3:uid="{00000000-0010-0000-0200-000003000000}" name="Closest AICS evidence"/>
    <tableColumn id="4" xr3:uid="{00000000-0010-0000-0200-000004000000}" name="Coverage"/>
    <tableColumn id="5" xr3:uid="{00000000-0010-0000-0200-000005000000}" name="Severity"/>
    <tableColumn id="6" xr3:uid="{00000000-0010-0000-0200-000006000000}" name="Gap statement"/>
    <tableColumn id="7" xr3:uid="{00000000-0010-0000-0200-000007000000}" name="Recommendation"/>
    <tableColumn id="8" xr3:uid="{00000000-0010-0000-0200-000008000000}" name="Referenc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commendationsTable" displayName="RecommendationsTable" ref="A3:E13" totalsRowShown="0">
  <tableColumns count="5">
    <tableColumn id="1" xr3:uid="{00000000-0010-0000-0300-000001000000}" name="ID"/>
    <tableColumn id="2" xr3:uid="{00000000-0010-0000-0300-000002000000}" name="Recommendation"/>
    <tableColumn id="3" xr3:uid="{00000000-0010-0000-0300-000003000000}" name="Primary layer"/>
    <tableColumn id="4" xr3:uid="{00000000-0010-0000-0300-000004000000}" name="Priority"/>
    <tableColumn id="5" xr3:uid="{00000000-0010-0000-0300-000005000000}" name="Acceptance foc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showGridLines="0" tabSelected="1" workbookViewId="0">
      <selection sqref="A1:F1"/>
    </sheetView>
  </sheetViews>
  <sheetFormatPr defaultColWidth="8.875" defaultRowHeight="14.1"/>
  <cols>
    <col min="1" max="1" width="22" customWidth="1"/>
    <col min="2" max="2" width="15" customWidth="1"/>
    <col min="3" max="3" width="13" customWidth="1"/>
    <col min="4" max="4" width="3" customWidth="1"/>
    <col min="5" max="5" width="23" customWidth="1"/>
    <col min="6" max="6" width="13" customWidth="1"/>
  </cols>
  <sheetData>
    <row r="1" spans="1:6" ht="33.950000000000003" customHeight="1">
      <c r="A1" s="22" t="s">
        <v>0</v>
      </c>
      <c r="B1" s="22"/>
      <c r="C1" s="22"/>
      <c r="D1" s="22"/>
      <c r="E1" s="22"/>
      <c r="F1" s="22"/>
    </row>
    <row r="2" spans="1:6" ht="33.950000000000003" customHeight="1">
      <c r="A2" s="23" t="s">
        <v>1</v>
      </c>
      <c r="B2" s="23"/>
      <c r="C2" s="23"/>
      <c r="D2" s="23"/>
      <c r="E2" s="23"/>
      <c r="F2" s="23"/>
    </row>
    <row r="4" spans="1:6" ht="15">
      <c r="A4" s="1" t="s">
        <v>2</v>
      </c>
      <c r="B4" s="5">
        <v>33184</v>
      </c>
    </row>
    <row r="5" spans="1:6" ht="15">
      <c r="A5" s="2" t="s">
        <v>3</v>
      </c>
      <c r="B5" s="6">
        <v>186</v>
      </c>
    </row>
    <row r="6" spans="1:6" ht="15">
      <c r="A6" s="2" t="s">
        <v>4</v>
      </c>
      <c r="B6" s="6">
        <v>49</v>
      </c>
    </row>
    <row r="7" spans="1:6" ht="15">
      <c r="A7" s="2" t="s">
        <v>5</v>
      </c>
      <c r="B7" s="6">
        <v>42</v>
      </c>
    </row>
    <row r="8" spans="1:6" ht="15">
      <c r="A8" s="2" t="s">
        <v>6</v>
      </c>
      <c r="B8" s="3" t="s">
        <v>7</v>
      </c>
    </row>
    <row r="9" spans="1:6" ht="15">
      <c r="A9" s="4" t="s">
        <v>8</v>
      </c>
      <c r="B9" s="7">
        <v>46259.666666666664</v>
      </c>
    </row>
    <row r="12" spans="1:6" ht="30" customHeight="1">
      <c r="A12" s="8" t="s">
        <v>9</v>
      </c>
      <c r="B12" s="9" t="s">
        <v>10</v>
      </c>
      <c r="C12" s="10" t="s">
        <v>11</v>
      </c>
      <c r="E12" s="8" t="s">
        <v>12</v>
      </c>
      <c r="F12" s="10" t="s">
        <v>10</v>
      </c>
    </row>
    <row r="13" spans="1:6">
      <c r="A13" t="s">
        <v>13</v>
      </c>
      <c r="B13" s="11">
        <f>COUNTIF('Top-level Crosswalk'!$H$4:$H$189,A13)</f>
        <v>11</v>
      </c>
      <c r="C13" s="12">
        <f t="shared" ref="C13:C18" si="0">B13/$B$5</f>
        <v>5.9139784946236562E-2</v>
      </c>
      <c r="E13" t="s">
        <v>14</v>
      </c>
      <c r="F13">
        <f>COUNTIF('AIND Required Gaps'!$E$4:$E$45,E13)</f>
        <v>28</v>
      </c>
    </row>
    <row r="14" spans="1:6">
      <c r="A14" t="s">
        <v>15</v>
      </c>
      <c r="B14" s="11">
        <f>COUNTIF('Top-level Crosswalk'!$H$4:$H$189,A14)</f>
        <v>75</v>
      </c>
      <c r="C14" s="12">
        <f t="shared" si="0"/>
        <v>0.40322580645161288</v>
      </c>
      <c r="E14" t="s">
        <v>16</v>
      </c>
      <c r="F14">
        <f>COUNTIF('AIND Required Gaps'!$E$4:$E$45,E14)</f>
        <v>9</v>
      </c>
    </row>
    <row r="15" spans="1:6">
      <c r="A15" t="s">
        <v>17</v>
      </c>
      <c r="B15" s="11">
        <f>COUNTIF('Top-level Crosswalk'!$H$4:$H$189,A15)</f>
        <v>48</v>
      </c>
      <c r="C15" s="12">
        <f t="shared" si="0"/>
        <v>0.25806451612903225</v>
      </c>
      <c r="E15" t="s">
        <v>18</v>
      </c>
      <c r="F15">
        <f>COUNTIF('AIND Required Gaps'!$E$4:$E$45,E15)</f>
        <v>5</v>
      </c>
    </row>
    <row r="16" spans="1:6">
      <c r="A16" t="s">
        <v>19</v>
      </c>
      <c r="B16" s="11">
        <f>COUNTIF('Top-level Crosswalk'!$H$4:$H$189,A16)</f>
        <v>23</v>
      </c>
      <c r="C16" s="12">
        <f t="shared" si="0"/>
        <v>0.12365591397849462</v>
      </c>
    </row>
    <row r="17" spans="1:6">
      <c r="A17" t="s">
        <v>20</v>
      </c>
      <c r="B17" s="11">
        <f>COUNTIF('Top-level Crosswalk'!$H$4:$H$189,A17)</f>
        <v>10</v>
      </c>
      <c r="C17" s="12">
        <f t="shared" si="0"/>
        <v>5.3763440860215055E-2</v>
      </c>
    </row>
    <row r="18" spans="1:6">
      <c r="A18" t="s">
        <v>21</v>
      </c>
      <c r="B18" s="11">
        <f>COUNTIF('Top-level Crosswalk'!$H$4:$H$189,A18)</f>
        <v>19</v>
      </c>
      <c r="C18" s="12">
        <f t="shared" si="0"/>
        <v>0.10215053763440861</v>
      </c>
    </row>
    <row r="21" spans="1:6" ht="15">
      <c r="A21" s="25" t="s">
        <v>22</v>
      </c>
      <c r="B21" s="25"/>
      <c r="C21" s="25"/>
      <c r="D21" s="25"/>
      <c r="E21" s="25"/>
      <c r="F21" s="25"/>
    </row>
    <row r="22" spans="1:6">
      <c r="A22" s="24" t="s">
        <v>23</v>
      </c>
      <c r="B22" s="24"/>
      <c r="C22" s="24"/>
      <c r="D22" s="24"/>
      <c r="E22" s="24"/>
      <c r="F22" s="24"/>
    </row>
    <row r="23" spans="1:6">
      <c r="A23" s="24"/>
      <c r="B23" s="24"/>
      <c r="C23" s="24"/>
      <c r="D23" s="24"/>
      <c r="E23" s="24"/>
      <c r="F23" s="24"/>
    </row>
    <row r="24" spans="1:6">
      <c r="A24" s="24"/>
      <c r="B24" s="24"/>
      <c r="C24" s="24"/>
      <c r="D24" s="24"/>
      <c r="E24" s="24"/>
      <c r="F24" s="24"/>
    </row>
    <row r="25" spans="1:6">
      <c r="A25" s="24"/>
      <c r="B25" s="24"/>
      <c r="C25" s="24"/>
      <c r="D25" s="24"/>
      <c r="E25" s="24"/>
      <c r="F25" s="24"/>
    </row>
  </sheetData>
  <mergeCells count="4">
    <mergeCell ref="A1:F1"/>
    <mergeCell ref="A2:F2"/>
    <mergeCell ref="A21:F21"/>
    <mergeCell ref="A22:F25"/>
  </mergeCells>
  <conditionalFormatting sqref="A13:A18">
    <cfRule type="containsText" dxfId="32" priority="1" operator="containsText" text="Direct"/>
    <cfRule type="containsText" dxfId="31" priority="2" operator="containsText" text="Partial"/>
    <cfRule type="containsText" dxfId="30" priority="3" operator="containsText" text="Extension container"/>
    <cfRule type="containsText" dxfId="29" priority="4" operator="containsText" text="No first-class analog"/>
    <cfRule type="containsText" dxfId="28" priority="5" operator="containsText" text="Platform or manifest"/>
    <cfRule type="containsText" dxfId="27" priority="6" operator="containsText" text="Derived/search-only"/>
  </conditionalFormatting>
  <conditionalFormatting sqref="E13:E15">
    <cfRule type="containsText" dxfId="26" priority="7" operator="containsText" text="High"/>
    <cfRule type="containsText" dxfId="25" priority="8" operator="containsText" text="Medium"/>
    <cfRule type="containsText" dxfId="24" priority="9" operator="containsText" text="Low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9"/>
  <sheetViews>
    <sheetView showGridLines="0" workbookViewId="0">
      <selection sqref="A1:N1"/>
    </sheetView>
  </sheetViews>
  <sheetFormatPr defaultColWidth="8.875" defaultRowHeight="14.1"/>
  <cols>
    <col min="1" max="2" width="25" customWidth="1"/>
    <col min="3" max="3" width="48" customWidth="1"/>
    <col min="4" max="4" width="24" customWidth="1"/>
    <col min="5" max="5" width="16" customWidth="1"/>
    <col min="6" max="6" width="18" customWidth="1"/>
    <col min="7" max="7" width="46" customWidth="1"/>
    <col min="8" max="8" width="22" customWidth="1"/>
    <col min="9" max="9" width="12" customWidth="1"/>
    <col min="10" max="10" width="16" customWidth="1"/>
    <col min="11" max="11" width="55" customWidth="1"/>
    <col min="12" max="12" width="24" customWidth="1"/>
    <col min="13" max="13" width="22" customWidth="1"/>
    <col min="14" max="14" width="48" customWidth="1"/>
  </cols>
  <sheetData>
    <row r="1" spans="1:14" ht="33.950000000000003" customHeight="1">
      <c r="A1" s="22" t="s">
        <v>24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33.950000000000003" customHeight="1">
      <c r="A2" s="23" t="s">
        <v>25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30" customHeight="1">
      <c r="A3" s="8" t="s">
        <v>26</v>
      </c>
      <c r="B3" s="9" t="s">
        <v>27</v>
      </c>
      <c r="C3" s="9" t="s">
        <v>28</v>
      </c>
      <c r="D3" s="9" t="s">
        <v>29</v>
      </c>
      <c r="E3" s="9" t="s">
        <v>30</v>
      </c>
      <c r="F3" s="9" t="s">
        <v>31</v>
      </c>
      <c r="G3" s="9" t="s">
        <v>32</v>
      </c>
      <c r="H3" s="9" t="s">
        <v>33</v>
      </c>
      <c r="I3" s="9" t="s">
        <v>34</v>
      </c>
      <c r="J3" s="9" t="s">
        <v>35</v>
      </c>
      <c r="K3" s="9" t="s">
        <v>36</v>
      </c>
      <c r="L3" s="9" t="s">
        <v>37</v>
      </c>
      <c r="M3" s="9" t="s">
        <v>6</v>
      </c>
      <c r="N3" s="10" t="s">
        <v>38</v>
      </c>
    </row>
    <row r="4" spans="1:14" ht="26.1">
      <c r="A4" s="13" t="s">
        <v>39</v>
      </c>
      <c r="B4" s="13" t="s">
        <v>40</v>
      </c>
      <c r="C4" s="14" t="s">
        <v>41</v>
      </c>
      <c r="D4" s="13" t="s">
        <v>42</v>
      </c>
      <c r="E4" s="13" t="s">
        <v>43</v>
      </c>
      <c r="F4" s="13"/>
      <c r="G4" s="14" t="s">
        <v>44</v>
      </c>
      <c r="H4" s="13" t="s">
        <v>15</v>
      </c>
      <c r="I4" s="13" t="s">
        <v>16</v>
      </c>
      <c r="J4" s="13" t="s">
        <v>45</v>
      </c>
      <c r="K4" s="14" t="s">
        <v>46</v>
      </c>
      <c r="L4" s="13" t="s">
        <v>47</v>
      </c>
      <c r="M4" s="13" t="s">
        <v>7</v>
      </c>
      <c r="N4" s="13" t="s">
        <v>48</v>
      </c>
    </row>
    <row r="5" spans="1:14">
      <c r="A5" s="13" t="s">
        <v>49</v>
      </c>
      <c r="B5" s="13" t="s">
        <v>50</v>
      </c>
      <c r="C5" s="14" t="s">
        <v>51</v>
      </c>
      <c r="D5" s="13" t="s">
        <v>42</v>
      </c>
      <c r="E5" s="13" t="s">
        <v>43</v>
      </c>
      <c r="F5" s="13"/>
      <c r="G5" s="14" t="s">
        <v>52</v>
      </c>
      <c r="H5" s="13" t="s">
        <v>15</v>
      </c>
      <c r="I5" s="13" t="s">
        <v>16</v>
      </c>
      <c r="J5" s="13" t="s">
        <v>45</v>
      </c>
      <c r="K5" s="14" t="s">
        <v>53</v>
      </c>
      <c r="L5" s="13" t="s">
        <v>47</v>
      </c>
      <c r="M5" s="13" t="s">
        <v>7</v>
      </c>
      <c r="N5" s="13" t="s">
        <v>48</v>
      </c>
    </row>
    <row r="6" spans="1:14">
      <c r="A6" s="13" t="s">
        <v>54</v>
      </c>
      <c r="B6" s="13" t="s">
        <v>50</v>
      </c>
      <c r="C6" s="14" t="s">
        <v>55</v>
      </c>
      <c r="D6" s="13" t="s">
        <v>42</v>
      </c>
      <c r="E6" s="13" t="s">
        <v>56</v>
      </c>
      <c r="F6" s="13"/>
      <c r="G6" s="14" t="s">
        <v>57</v>
      </c>
      <c r="H6" s="13" t="s">
        <v>15</v>
      </c>
      <c r="I6" s="13" t="s">
        <v>16</v>
      </c>
      <c r="J6" s="13" t="s">
        <v>45</v>
      </c>
      <c r="K6" s="14" t="s">
        <v>58</v>
      </c>
      <c r="L6" s="13" t="s">
        <v>47</v>
      </c>
      <c r="M6" s="13" t="s">
        <v>7</v>
      </c>
      <c r="N6" s="13" t="s">
        <v>48</v>
      </c>
    </row>
    <row r="7" spans="1:14" ht="26.1">
      <c r="A7" s="13" t="s">
        <v>59</v>
      </c>
      <c r="B7" s="13" t="s">
        <v>60</v>
      </c>
      <c r="C7" s="14" t="s">
        <v>61</v>
      </c>
      <c r="D7" s="13" t="s">
        <v>42</v>
      </c>
      <c r="E7" s="13" t="s">
        <v>56</v>
      </c>
      <c r="F7" s="13"/>
      <c r="G7" s="14" t="s">
        <v>62</v>
      </c>
      <c r="H7" s="13" t="s">
        <v>15</v>
      </c>
      <c r="I7" s="13" t="s">
        <v>14</v>
      </c>
      <c r="J7" s="13" t="s">
        <v>45</v>
      </c>
      <c r="K7" s="14" t="s">
        <v>63</v>
      </c>
      <c r="L7" s="13" t="s">
        <v>47</v>
      </c>
      <c r="M7" s="13" t="s">
        <v>7</v>
      </c>
      <c r="N7" s="13" t="s">
        <v>48</v>
      </c>
    </row>
    <row r="8" spans="1:14">
      <c r="A8" s="13" t="s">
        <v>64</v>
      </c>
      <c r="B8" s="13" t="s">
        <v>60</v>
      </c>
      <c r="C8" s="14" t="s">
        <v>65</v>
      </c>
      <c r="D8" s="13" t="s">
        <v>42</v>
      </c>
      <c r="E8" s="13" t="s">
        <v>56</v>
      </c>
      <c r="F8" s="13"/>
      <c r="G8" s="14" t="s">
        <v>66</v>
      </c>
      <c r="H8" s="13" t="s">
        <v>13</v>
      </c>
      <c r="I8" s="13" t="s">
        <v>18</v>
      </c>
      <c r="J8" s="13" t="s">
        <v>67</v>
      </c>
      <c r="K8" s="14" t="s">
        <v>68</v>
      </c>
      <c r="L8" s="13" t="s">
        <v>47</v>
      </c>
      <c r="M8" s="13" t="s">
        <v>7</v>
      </c>
      <c r="N8" s="13" t="s">
        <v>48</v>
      </c>
    </row>
    <row r="9" spans="1:14" ht="26.1">
      <c r="A9" s="13" t="s">
        <v>69</v>
      </c>
      <c r="B9" s="13" t="s">
        <v>70</v>
      </c>
      <c r="C9" s="14" t="s">
        <v>71</v>
      </c>
      <c r="D9" s="13" t="s">
        <v>42</v>
      </c>
      <c r="E9" s="13" t="s">
        <v>56</v>
      </c>
      <c r="F9" s="13"/>
      <c r="G9" s="14" t="s">
        <v>72</v>
      </c>
      <c r="H9" s="13" t="s">
        <v>17</v>
      </c>
      <c r="I9" s="13" t="s">
        <v>16</v>
      </c>
      <c r="J9" s="13" t="s">
        <v>73</v>
      </c>
      <c r="K9" s="14" t="s">
        <v>74</v>
      </c>
      <c r="L9" s="13" t="s">
        <v>47</v>
      </c>
      <c r="M9" s="13" t="s">
        <v>7</v>
      </c>
      <c r="N9" s="13" t="s">
        <v>48</v>
      </c>
    </row>
    <row r="10" spans="1:14" ht="26.1">
      <c r="A10" s="13" t="s">
        <v>75</v>
      </c>
      <c r="B10" s="13" t="s">
        <v>76</v>
      </c>
      <c r="C10" s="14" t="s">
        <v>77</v>
      </c>
      <c r="D10" s="13" t="s">
        <v>42</v>
      </c>
      <c r="E10" s="13" t="s">
        <v>43</v>
      </c>
      <c r="F10" s="13"/>
      <c r="G10" s="14" t="s">
        <v>78</v>
      </c>
      <c r="H10" s="13" t="s">
        <v>15</v>
      </c>
      <c r="I10" s="13" t="s">
        <v>14</v>
      </c>
      <c r="J10" s="13" t="s">
        <v>45</v>
      </c>
      <c r="K10" s="14" t="s">
        <v>79</v>
      </c>
      <c r="L10" s="13" t="s">
        <v>47</v>
      </c>
      <c r="M10" s="13" t="s">
        <v>7</v>
      </c>
      <c r="N10" s="13" t="s">
        <v>48</v>
      </c>
    </row>
    <row r="11" spans="1:14">
      <c r="A11" s="13" t="s">
        <v>80</v>
      </c>
      <c r="B11" s="13" t="s">
        <v>76</v>
      </c>
      <c r="C11" s="14" t="s">
        <v>81</v>
      </c>
      <c r="D11" s="13" t="s">
        <v>42</v>
      </c>
      <c r="E11" s="13" t="s">
        <v>43</v>
      </c>
      <c r="F11" s="13"/>
      <c r="G11" s="14" t="s">
        <v>82</v>
      </c>
      <c r="H11" s="13" t="s">
        <v>15</v>
      </c>
      <c r="I11" s="13" t="s">
        <v>14</v>
      </c>
      <c r="J11" s="13" t="s">
        <v>45</v>
      </c>
      <c r="K11" s="14" t="s">
        <v>83</v>
      </c>
      <c r="L11" s="13" t="s">
        <v>47</v>
      </c>
      <c r="M11" s="13" t="s">
        <v>7</v>
      </c>
      <c r="N11" s="13" t="s">
        <v>48</v>
      </c>
    </row>
    <row r="12" spans="1:14">
      <c r="A12" s="13" t="s">
        <v>84</v>
      </c>
      <c r="B12" s="13" t="s">
        <v>76</v>
      </c>
      <c r="C12" s="14" t="s">
        <v>85</v>
      </c>
      <c r="D12" s="13" t="s">
        <v>42</v>
      </c>
      <c r="E12" s="13" t="s">
        <v>56</v>
      </c>
      <c r="F12" s="13"/>
      <c r="G12" s="14" t="s">
        <v>44</v>
      </c>
      <c r="H12" s="13" t="s">
        <v>15</v>
      </c>
      <c r="I12" s="13" t="s">
        <v>18</v>
      </c>
      <c r="J12" s="13" t="s">
        <v>45</v>
      </c>
      <c r="K12" s="14" t="s">
        <v>86</v>
      </c>
      <c r="L12" s="13" t="s">
        <v>47</v>
      </c>
      <c r="M12" s="13" t="s">
        <v>7</v>
      </c>
      <c r="N12" s="13" t="s">
        <v>48</v>
      </c>
    </row>
    <row r="13" spans="1:14" ht="26.1">
      <c r="A13" s="13" t="s">
        <v>87</v>
      </c>
      <c r="B13" s="13" t="s">
        <v>76</v>
      </c>
      <c r="C13" s="14" t="s">
        <v>88</v>
      </c>
      <c r="D13" s="13" t="s">
        <v>42</v>
      </c>
      <c r="E13" s="13" t="s">
        <v>56</v>
      </c>
      <c r="F13" s="13"/>
      <c r="G13" s="14" t="s">
        <v>89</v>
      </c>
      <c r="H13" s="13" t="s">
        <v>15</v>
      </c>
      <c r="I13" s="13" t="s">
        <v>16</v>
      </c>
      <c r="J13" s="13" t="s">
        <v>45</v>
      </c>
      <c r="K13" s="14" t="s">
        <v>90</v>
      </c>
      <c r="L13" s="13" t="s">
        <v>47</v>
      </c>
      <c r="M13" s="13" t="s">
        <v>7</v>
      </c>
      <c r="N13" s="13" t="s">
        <v>48</v>
      </c>
    </row>
    <row r="14" spans="1:14">
      <c r="A14" s="13" t="s">
        <v>91</v>
      </c>
      <c r="B14" s="13" t="s">
        <v>76</v>
      </c>
      <c r="C14" s="14" t="s">
        <v>92</v>
      </c>
      <c r="D14" s="13" t="s">
        <v>42</v>
      </c>
      <c r="E14" s="13" t="s">
        <v>56</v>
      </c>
      <c r="F14" s="13"/>
      <c r="G14" s="14" t="s">
        <v>93</v>
      </c>
      <c r="H14" s="13" t="s">
        <v>15</v>
      </c>
      <c r="I14" s="13" t="s">
        <v>16</v>
      </c>
      <c r="J14" s="13" t="s">
        <v>94</v>
      </c>
      <c r="K14" s="14" t="s">
        <v>95</v>
      </c>
      <c r="L14" s="13" t="s">
        <v>47</v>
      </c>
      <c r="M14" s="13" t="s">
        <v>7</v>
      </c>
      <c r="N14" s="13" t="s">
        <v>48</v>
      </c>
    </row>
    <row r="15" spans="1:14">
      <c r="A15" s="13" t="s">
        <v>96</v>
      </c>
      <c r="B15" s="13" t="s">
        <v>76</v>
      </c>
      <c r="C15" s="14" t="s">
        <v>97</v>
      </c>
      <c r="D15" s="13" t="s">
        <v>98</v>
      </c>
      <c r="E15" s="13" t="s">
        <v>56</v>
      </c>
      <c r="F15" s="13"/>
      <c r="G15" s="14" t="s">
        <v>99</v>
      </c>
      <c r="H15" s="13" t="s">
        <v>20</v>
      </c>
      <c r="I15" s="13" t="s">
        <v>16</v>
      </c>
      <c r="J15" s="13" t="s">
        <v>94</v>
      </c>
      <c r="K15" s="14" t="s">
        <v>100</v>
      </c>
      <c r="L15" s="13" t="s">
        <v>101</v>
      </c>
      <c r="M15" s="13" t="s">
        <v>7</v>
      </c>
      <c r="N15" s="13" t="s">
        <v>48</v>
      </c>
    </row>
    <row r="16" spans="1:14">
      <c r="A16" s="13" t="s">
        <v>102</v>
      </c>
      <c r="B16" s="13" t="s">
        <v>76</v>
      </c>
      <c r="C16" s="14" t="s">
        <v>103</v>
      </c>
      <c r="D16" s="13" t="s">
        <v>98</v>
      </c>
      <c r="E16" s="13" t="s">
        <v>56</v>
      </c>
      <c r="F16" s="13"/>
      <c r="G16" s="14" t="s">
        <v>99</v>
      </c>
      <c r="H16" s="13" t="s">
        <v>20</v>
      </c>
      <c r="I16" s="13" t="s">
        <v>16</v>
      </c>
      <c r="J16" s="13" t="s">
        <v>94</v>
      </c>
      <c r="K16" s="14" t="s">
        <v>100</v>
      </c>
      <c r="L16" s="13" t="s">
        <v>101</v>
      </c>
      <c r="M16" s="13" t="s">
        <v>7</v>
      </c>
      <c r="N16" s="13" t="s">
        <v>48</v>
      </c>
    </row>
    <row r="17" spans="1:14">
      <c r="A17" s="13" t="s">
        <v>104</v>
      </c>
      <c r="B17" s="13" t="s">
        <v>76</v>
      </c>
      <c r="C17" s="14" t="s">
        <v>105</v>
      </c>
      <c r="D17" s="13" t="s">
        <v>42</v>
      </c>
      <c r="E17" s="13" t="s">
        <v>56</v>
      </c>
      <c r="F17" s="13"/>
      <c r="G17" s="14" t="s">
        <v>99</v>
      </c>
      <c r="H17" s="13" t="s">
        <v>20</v>
      </c>
      <c r="I17" s="13" t="s">
        <v>16</v>
      </c>
      <c r="J17" s="13" t="s">
        <v>94</v>
      </c>
      <c r="K17" s="14" t="s">
        <v>100</v>
      </c>
      <c r="L17" s="13" t="s">
        <v>101</v>
      </c>
      <c r="M17" s="13" t="s">
        <v>7</v>
      </c>
      <c r="N17" s="13" t="s">
        <v>48</v>
      </c>
    </row>
    <row r="18" spans="1:14">
      <c r="A18" s="13" t="s">
        <v>106</v>
      </c>
      <c r="B18" s="13" t="s">
        <v>40</v>
      </c>
      <c r="C18" s="14" t="s">
        <v>107</v>
      </c>
      <c r="D18" s="13" t="s">
        <v>42</v>
      </c>
      <c r="E18" s="13" t="s">
        <v>56</v>
      </c>
      <c r="F18" s="13"/>
      <c r="G18" s="14" t="s">
        <v>108</v>
      </c>
      <c r="H18" s="13" t="s">
        <v>15</v>
      </c>
      <c r="I18" s="13" t="s">
        <v>16</v>
      </c>
      <c r="J18" s="13" t="s">
        <v>109</v>
      </c>
      <c r="K18" s="14" t="s">
        <v>110</v>
      </c>
      <c r="L18" s="13" t="s">
        <v>47</v>
      </c>
      <c r="M18" s="13" t="s">
        <v>7</v>
      </c>
      <c r="N18" s="13" t="s">
        <v>48</v>
      </c>
    </row>
    <row r="19" spans="1:14" ht="26.1">
      <c r="A19" s="13" t="s">
        <v>111</v>
      </c>
      <c r="B19" s="13" t="s">
        <v>40</v>
      </c>
      <c r="C19" s="14" t="s">
        <v>112</v>
      </c>
      <c r="D19" s="13" t="s">
        <v>42</v>
      </c>
      <c r="E19" s="13" t="s">
        <v>56</v>
      </c>
      <c r="F19" s="13"/>
      <c r="G19" s="14" t="s">
        <v>113</v>
      </c>
      <c r="H19" s="13" t="s">
        <v>15</v>
      </c>
      <c r="I19" s="13" t="s">
        <v>14</v>
      </c>
      <c r="J19" s="13" t="s">
        <v>114</v>
      </c>
      <c r="K19" s="14" t="s">
        <v>115</v>
      </c>
      <c r="L19" s="13" t="s">
        <v>47</v>
      </c>
      <c r="M19" s="13" t="s">
        <v>7</v>
      </c>
      <c r="N19" s="13" t="s">
        <v>48</v>
      </c>
    </row>
    <row r="20" spans="1:14">
      <c r="A20" s="13" t="s">
        <v>116</v>
      </c>
      <c r="B20" s="13" t="s">
        <v>76</v>
      </c>
      <c r="C20" s="14" t="s">
        <v>117</v>
      </c>
      <c r="D20" s="13" t="s">
        <v>42</v>
      </c>
      <c r="E20" s="13" t="s">
        <v>43</v>
      </c>
      <c r="F20" s="13"/>
      <c r="G20" s="14" t="s">
        <v>118</v>
      </c>
      <c r="H20" s="13" t="s">
        <v>15</v>
      </c>
      <c r="I20" s="13" t="s">
        <v>16</v>
      </c>
      <c r="J20" s="13" t="s">
        <v>94</v>
      </c>
      <c r="K20" s="14" t="s">
        <v>119</v>
      </c>
      <c r="L20" s="13" t="s">
        <v>47</v>
      </c>
      <c r="M20" s="13" t="s">
        <v>7</v>
      </c>
      <c r="N20" s="13" t="s">
        <v>48</v>
      </c>
    </row>
    <row r="21" spans="1:14">
      <c r="A21" s="13" t="s">
        <v>120</v>
      </c>
      <c r="B21" s="13" t="s">
        <v>76</v>
      </c>
      <c r="C21" s="14" t="s">
        <v>121</v>
      </c>
      <c r="D21" s="13" t="s">
        <v>42</v>
      </c>
      <c r="E21" s="13" t="s">
        <v>43</v>
      </c>
      <c r="F21" s="13"/>
      <c r="G21" s="14" t="s">
        <v>122</v>
      </c>
      <c r="H21" s="13" t="s">
        <v>15</v>
      </c>
      <c r="I21" s="13" t="s">
        <v>16</v>
      </c>
      <c r="J21" s="13" t="s">
        <v>94</v>
      </c>
      <c r="K21" s="14" t="s">
        <v>123</v>
      </c>
      <c r="L21" s="13" t="s">
        <v>47</v>
      </c>
      <c r="M21" s="13" t="s">
        <v>7</v>
      </c>
      <c r="N21" s="13" t="s">
        <v>48</v>
      </c>
    </row>
    <row r="22" spans="1:14" ht="26.1">
      <c r="A22" s="13" t="s">
        <v>124</v>
      </c>
      <c r="B22" s="13" t="s">
        <v>125</v>
      </c>
      <c r="C22" s="14" t="s">
        <v>126</v>
      </c>
      <c r="D22" s="13" t="s">
        <v>42</v>
      </c>
      <c r="E22" s="13" t="s">
        <v>127</v>
      </c>
      <c r="F22" s="13"/>
      <c r="G22" s="14" t="s">
        <v>128</v>
      </c>
      <c r="H22" s="13" t="s">
        <v>19</v>
      </c>
      <c r="I22" s="13" t="s">
        <v>14</v>
      </c>
      <c r="J22" s="13" t="s">
        <v>129</v>
      </c>
      <c r="K22" s="14" t="s">
        <v>130</v>
      </c>
      <c r="L22" s="13" t="s">
        <v>47</v>
      </c>
      <c r="M22" s="13" t="s">
        <v>7</v>
      </c>
      <c r="N22" s="13" t="s">
        <v>48</v>
      </c>
    </row>
    <row r="23" spans="1:14" ht="26.1">
      <c r="A23" s="13" t="s">
        <v>131</v>
      </c>
      <c r="B23" s="13" t="s">
        <v>125</v>
      </c>
      <c r="C23" s="14" t="s">
        <v>132</v>
      </c>
      <c r="D23" s="13" t="s">
        <v>42</v>
      </c>
      <c r="E23" s="13" t="s">
        <v>43</v>
      </c>
      <c r="F23" s="13"/>
      <c r="G23" s="14" t="s">
        <v>128</v>
      </c>
      <c r="H23" s="13" t="s">
        <v>19</v>
      </c>
      <c r="I23" s="13" t="s">
        <v>14</v>
      </c>
      <c r="J23" s="13" t="s">
        <v>129</v>
      </c>
      <c r="K23" s="14" t="s">
        <v>130</v>
      </c>
      <c r="L23" s="13" t="s">
        <v>47</v>
      </c>
      <c r="M23" s="13" t="s">
        <v>7</v>
      </c>
      <c r="N23" s="13" t="s">
        <v>48</v>
      </c>
    </row>
    <row r="24" spans="1:14" ht="26.1">
      <c r="A24" s="13" t="s">
        <v>133</v>
      </c>
      <c r="B24" s="13" t="s">
        <v>125</v>
      </c>
      <c r="C24" s="14" t="s">
        <v>134</v>
      </c>
      <c r="D24" s="13" t="s">
        <v>42</v>
      </c>
      <c r="E24" s="13" t="s">
        <v>43</v>
      </c>
      <c r="F24" s="13"/>
      <c r="G24" s="14" t="s">
        <v>135</v>
      </c>
      <c r="H24" s="13" t="s">
        <v>15</v>
      </c>
      <c r="I24" s="13" t="s">
        <v>14</v>
      </c>
      <c r="J24" s="13" t="s">
        <v>129</v>
      </c>
      <c r="K24" s="14" t="s">
        <v>136</v>
      </c>
      <c r="L24" s="13" t="s">
        <v>47</v>
      </c>
      <c r="M24" s="13" t="s">
        <v>7</v>
      </c>
      <c r="N24" s="13" t="s">
        <v>48</v>
      </c>
    </row>
    <row r="25" spans="1:14" ht="26.1">
      <c r="A25" s="13" t="s">
        <v>137</v>
      </c>
      <c r="B25" s="13" t="s">
        <v>125</v>
      </c>
      <c r="C25" s="14" t="s">
        <v>138</v>
      </c>
      <c r="D25" s="13" t="s">
        <v>42</v>
      </c>
      <c r="E25" s="13" t="s">
        <v>127</v>
      </c>
      <c r="F25" s="13"/>
      <c r="G25" s="14" t="s">
        <v>128</v>
      </c>
      <c r="H25" s="13" t="s">
        <v>19</v>
      </c>
      <c r="I25" s="13" t="s">
        <v>14</v>
      </c>
      <c r="J25" s="13" t="s">
        <v>129</v>
      </c>
      <c r="K25" s="14" t="s">
        <v>130</v>
      </c>
      <c r="L25" s="13" t="s">
        <v>47</v>
      </c>
      <c r="M25" s="13" t="s">
        <v>7</v>
      </c>
      <c r="N25" s="13" t="s">
        <v>48</v>
      </c>
    </row>
    <row r="26" spans="1:14" ht="26.1">
      <c r="A26" s="13" t="s">
        <v>139</v>
      </c>
      <c r="B26" s="13" t="s">
        <v>76</v>
      </c>
      <c r="C26" s="14" t="s">
        <v>140</v>
      </c>
      <c r="D26" s="13" t="s">
        <v>42</v>
      </c>
      <c r="E26" s="13" t="s">
        <v>127</v>
      </c>
      <c r="F26" s="13"/>
      <c r="G26" s="14" t="s">
        <v>141</v>
      </c>
      <c r="H26" s="13" t="s">
        <v>15</v>
      </c>
      <c r="I26" s="13" t="s">
        <v>16</v>
      </c>
      <c r="J26" s="13" t="s">
        <v>67</v>
      </c>
      <c r="K26" s="14" t="s">
        <v>142</v>
      </c>
      <c r="L26" s="13" t="s">
        <v>47</v>
      </c>
      <c r="M26" s="13" t="s">
        <v>7</v>
      </c>
      <c r="N26" s="13" t="s">
        <v>48</v>
      </c>
    </row>
    <row r="27" spans="1:14">
      <c r="A27" s="13" t="s">
        <v>143</v>
      </c>
      <c r="B27" s="13" t="s">
        <v>60</v>
      </c>
      <c r="C27" s="14" t="s">
        <v>144</v>
      </c>
      <c r="D27" s="13" t="s">
        <v>42</v>
      </c>
      <c r="E27" s="13" t="s">
        <v>56</v>
      </c>
      <c r="F27" s="13"/>
      <c r="G27" s="14" t="s">
        <v>145</v>
      </c>
      <c r="H27" s="13" t="s">
        <v>13</v>
      </c>
      <c r="I27" s="13" t="s">
        <v>18</v>
      </c>
      <c r="J27" s="13" t="s">
        <v>67</v>
      </c>
      <c r="K27" s="14" t="s">
        <v>146</v>
      </c>
      <c r="L27" s="13" t="s">
        <v>47</v>
      </c>
      <c r="M27" s="13" t="s">
        <v>7</v>
      </c>
      <c r="N27" s="13" t="s">
        <v>48</v>
      </c>
    </row>
    <row r="28" spans="1:14">
      <c r="A28" s="13" t="s">
        <v>147</v>
      </c>
      <c r="B28" s="13" t="s">
        <v>60</v>
      </c>
      <c r="C28" s="14" t="s">
        <v>148</v>
      </c>
      <c r="D28" s="13" t="s">
        <v>42</v>
      </c>
      <c r="E28" s="13" t="s">
        <v>56</v>
      </c>
      <c r="F28" s="13"/>
      <c r="G28" s="14" t="s">
        <v>149</v>
      </c>
      <c r="H28" s="13" t="s">
        <v>13</v>
      </c>
      <c r="I28" s="13" t="s">
        <v>18</v>
      </c>
      <c r="J28" s="13" t="s">
        <v>67</v>
      </c>
      <c r="K28" s="14" t="s">
        <v>150</v>
      </c>
      <c r="L28" s="13" t="s">
        <v>47</v>
      </c>
      <c r="M28" s="13" t="s">
        <v>7</v>
      </c>
      <c r="N28" s="13" t="s">
        <v>48</v>
      </c>
    </row>
    <row r="29" spans="1:14">
      <c r="A29" s="13" t="s">
        <v>151</v>
      </c>
      <c r="B29" s="13" t="s">
        <v>60</v>
      </c>
      <c r="C29" s="14" t="s">
        <v>152</v>
      </c>
      <c r="D29" s="13" t="s">
        <v>153</v>
      </c>
      <c r="E29" s="13" t="s">
        <v>56</v>
      </c>
      <c r="F29" s="13"/>
      <c r="G29" s="14" t="s">
        <v>154</v>
      </c>
      <c r="H29" s="13" t="s">
        <v>13</v>
      </c>
      <c r="I29" s="13" t="s">
        <v>18</v>
      </c>
      <c r="J29" s="13" t="s">
        <v>67</v>
      </c>
      <c r="K29" s="14" t="s">
        <v>155</v>
      </c>
      <c r="L29" s="13" t="s">
        <v>47</v>
      </c>
      <c r="M29" s="13" t="s">
        <v>7</v>
      </c>
      <c r="N29" s="13" t="s">
        <v>48</v>
      </c>
    </row>
    <row r="30" spans="1:14">
      <c r="A30" s="13" t="s">
        <v>156</v>
      </c>
      <c r="B30" s="13" t="s">
        <v>60</v>
      </c>
      <c r="C30" s="14" t="s">
        <v>157</v>
      </c>
      <c r="D30" s="13" t="s">
        <v>153</v>
      </c>
      <c r="E30" s="13" t="s">
        <v>56</v>
      </c>
      <c r="F30" s="13"/>
      <c r="G30" s="14" t="s">
        <v>158</v>
      </c>
      <c r="H30" s="13" t="s">
        <v>13</v>
      </c>
      <c r="I30" s="13" t="s">
        <v>18</v>
      </c>
      <c r="J30" s="13" t="s">
        <v>67</v>
      </c>
      <c r="K30" s="14" t="s">
        <v>155</v>
      </c>
      <c r="L30" s="13" t="s">
        <v>47</v>
      </c>
      <c r="M30" s="13" t="s">
        <v>7</v>
      </c>
      <c r="N30" s="13" t="s">
        <v>48</v>
      </c>
    </row>
    <row r="31" spans="1:14">
      <c r="A31" s="13" t="s">
        <v>159</v>
      </c>
      <c r="B31" s="13" t="s">
        <v>60</v>
      </c>
      <c r="C31" s="14" t="s">
        <v>160</v>
      </c>
      <c r="D31" s="13" t="s">
        <v>42</v>
      </c>
      <c r="E31" s="13" t="s">
        <v>56</v>
      </c>
      <c r="F31" s="13"/>
      <c r="G31" s="14" t="s">
        <v>161</v>
      </c>
      <c r="H31" s="13" t="s">
        <v>13</v>
      </c>
      <c r="I31" s="13" t="s">
        <v>18</v>
      </c>
      <c r="J31" s="13" t="s">
        <v>67</v>
      </c>
      <c r="K31" s="14" t="s">
        <v>162</v>
      </c>
      <c r="L31" s="13" t="s">
        <v>47</v>
      </c>
      <c r="M31" s="13" t="s">
        <v>7</v>
      </c>
      <c r="N31" s="13" t="s">
        <v>48</v>
      </c>
    </row>
    <row r="32" spans="1:14">
      <c r="A32" s="13" t="s">
        <v>163</v>
      </c>
      <c r="B32" s="13" t="s">
        <v>60</v>
      </c>
      <c r="C32" s="14" t="s">
        <v>164</v>
      </c>
      <c r="D32" s="13" t="s">
        <v>42</v>
      </c>
      <c r="E32" s="13" t="s">
        <v>56</v>
      </c>
      <c r="F32" s="13"/>
      <c r="G32" s="14" t="s">
        <v>165</v>
      </c>
      <c r="H32" s="13" t="s">
        <v>13</v>
      </c>
      <c r="I32" s="13" t="s">
        <v>18</v>
      </c>
      <c r="J32" s="13" t="s">
        <v>67</v>
      </c>
      <c r="K32" s="14" t="s">
        <v>166</v>
      </c>
      <c r="L32" s="13" t="s">
        <v>47</v>
      </c>
      <c r="M32" s="13" t="s">
        <v>7</v>
      </c>
      <c r="N32" s="13" t="s">
        <v>48</v>
      </c>
    </row>
    <row r="33" spans="1:14">
      <c r="A33" s="13" t="s">
        <v>167</v>
      </c>
      <c r="B33" s="13" t="s">
        <v>60</v>
      </c>
      <c r="C33" s="14" t="s">
        <v>168</v>
      </c>
      <c r="D33" s="13" t="s">
        <v>42</v>
      </c>
      <c r="E33" s="13" t="s">
        <v>56</v>
      </c>
      <c r="F33" s="13"/>
      <c r="G33" s="14" t="s">
        <v>169</v>
      </c>
      <c r="H33" s="13" t="s">
        <v>15</v>
      </c>
      <c r="I33" s="13" t="s">
        <v>16</v>
      </c>
      <c r="J33" s="13" t="s">
        <v>67</v>
      </c>
      <c r="K33" s="14" t="s">
        <v>170</v>
      </c>
      <c r="L33" s="13" t="s">
        <v>47</v>
      </c>
      <c r="M33" s="13" t="s">
        <v>7</v>
      </c>
      <c r="N33" s="13" t="s">
        <v>48</v>
      </c>
    </row>
    <row r="34" spans="1:14" ht="26.1">
      <c r="A34" s="13" t="s">
        <v>171</v>
      </c>
      <c r="B34" s="13" t="s">
        <v>60</v>
      </c>
      <c r="C34" s="14" t="s">
        <v>172</v>
      </c>
      <c r="D34" s="13" t="s">
        <v>153</v>
      </c>
      <c r="E34" s="13" t="s">
        <v>56</v>
      </c>
      <c r="F34" s="13"/>
      <c r="G34" s="14" t="s">
        <v>173</v>
      </c>
      <c r="H34" s="13" t="s">
        <v>13</v>
      </c>
      <c r="I34" s="13" t="s">
        <v>18</v>
      </c>
      <c r="J34" s="13" t="s">
        <v>67</v>
      </c>
      <c r="K34" s="14" t="s">
        <v>174</v>
      </c>
      <c r="L34" s="13" t="s">
        <v>47</v>
      </c>
      <c r="M34" s="13" t="s">
        <v>7</v>
      </c>
      <c r="N34" s="13" t="s">
        <v>48</v>
      </c>
    </row>
    <row r="35" spans="1:14">
      <c r="A35" s="13" t="s">
        <v>175</v>
      </c>
      <c r="B35" s="13" t="s">
        <v>60</v>
      </c>
      <c r="C35" s="14" t="s">
        <v>176</v>
      </c>
      <c r="D35" s="13" t="s">
        <v>153</v>
      </c>
      <c r="E35" s="13" t="s">
        <v>56</v>
      </c>
      <c r="F35" s="13"/>
      <c r="G35" s="14" t="s">
        <v>177</v>
      </c>
      <c r="H35" s="13" t="s">
        <v>15</v>
      </c>
      <c r="I35" s="13" t="s">
        <v>16</v>
      </c>
      <c r="J35" s="13" t="s">
        <v>67</v>
      </c>
      <c r="K35" s="14" t="s">
        <v>178</v>
      </c>
      <c r="L35" s="13" t="s">
        <v>47</v>
      </c>
      <c r="M35" s="13" t="s">
        <v>7</v>
      </c>
      <c r="N35" s="13" t="s">
        <v>48</v>
      </c>
    </row>
    <row r="36" spans="1:14">
      <c r="A36" s="13" t="s">
        <v>179</v>
      </c>
      <c r="B36" s="13" t="s">
        <v>60</v>
      </c>
      <c r="C36" s="14" t="s">
        <v>180</v>
      </c>
      <c r="D36" s="13" t="s">
        <v>153</v>
      </c>
      <c r="E36" s="13" t="s">
        <v>56</v>
      </c>
      <c r="F36" s="13"/>
      <c r="G36" s="14" t="s">
        <v>181</v>
      </c>
      <c r="H36" s="13" t="s">
        <v>15</v>
      </c>
      <c r="I36" s="13" t="s">
        <v>16</v>
      </c>
      <c r="J36" s="13" t="s">
        <v>67</v>
      </c>
      <c r="K36" s="14" t="s">
        <v>178</v>
      </c>
      <c r="L36" s="13" t="s">
        <v>47</v>
      </c>
      <c r="M36" s="13" t="s">
        <v>7</v>
      </c>
      <c r="N36" s="13" t="s">
        <v>48</v>
      </c>
    </row>
    <row r="37" spans="1:14">
      <c r="A37" s="13" t="s">
        <v>182</v>
      </c>
      <c r="B37" s="13" t="s">
        <v>60</v>
      </c>
      <c r="C37" s="14" t="s">
        <v>183</v>
      </c>
      <c r="D37" s="13" t="s">
        <v>42</v>
      </c>
      <c r="E37" s="13" t="s">
        <v>56</v>
      </c>
      <c r="F37" s="13"/>
      <c r="G37" s="14" t="s">
        <v>184</v>
      </c>
      <c r="H37" s="13" t="s">
        <v>15</v>
      </c>
      <c r="I37" s="13" t="s">
        <v>16</v>
      </c>
      <c r="J37" s="13" t="s">
        <v>67</v>
      </c>
      <c r="K37" s="14" t="s">
        <v>185</v>
      </c>
      <c r="L37" s="13" t="s">
        <v>47</v>
      </c>
      <c r="M37" s="13" t="s">
        <v>7</v>
      </c>
      <c r="N37" s="13" t="s">
        <v>48</v>
      </c>
    </row>
    <row r="38" spans="1:14">
      <c r="A38" s="13" t="s">
        <v>186</v>
      </c>
      <c r="B38" s="13" t="s">
        <v>60</v>
      </c>
      <c r="C38" s="14" t="s">
        <v>187</v>
      </c>
      <c r="D38" s="13" t="s">
        <v>42</v>
      </c>
      <c r="E38" s="13" t="s">
        <v>56</v>
      </c>
      <c r="F38" s="13"/>
      <c r="G38" s="14" t="s">
        <v>188</v>
      </c>
      <c r="H38" s="13" t="s">
        <v>15</v>
      </c>
      <c r="I38" s="13" t="s">
        <v>16</v>
      </c>
      <c r="J38" s="13" t="s">
        <v>67</v>
      </c>
      <c r="K38" s="14" t="s">
        <v>189</v>
      </c>
      <c r="L38" s="13" t="s">
        <v>47</v>
      </c>
      <c r="M38" s="13" t="s">
        <v>7</v>
      </c>
      <c r="N38" s="13" t="s">
        <v>48</v>
      </c>
    </row>
    <row r="39" spans="1:14" ht="26.1">
      <c r="A39" s="13" t="s">
        <v>190</v>
      </c>
      <c r="B39" s="13" t="s">
        <v>191</v>
      </c>
      <c r="C39" s="14" t="s">
        <v>192</v>
      </c>
      <c r="D39" s="13" t="s">
        <v>42</v>
      </c>
      <c r="E39" s="13" t="s">
        <v>56</v>
      </c>
      <c r="F39" s="13"/>
      <c r="G39" s="14" t="s">
        <v>193</v>
      </c>
      <c r="H39" s="13" t="s">
        <v>19</v>
      </c>
      <c r="I39" s="13" t="s">
        <v>14</v>
      </c>
      <c r="J39" s="13" t="s">
        <v>194</v>
      </c>
      <c r="K39" s="14" t="s">
        <v>195</v>
      </c>
      <c r="L39" s="13" t="s">
        <v>47</v>
      </c>
      <c r="M39" s="13" t="s">
        <v>7</v>
      </c>
      <c r="N39" s="13" t="s">
        <v>48</v>
      </c>
    </row>
    <row r="40" spans="1:14" ht="26.1">
      <c r="A40" s="13" t="s">
        <v>196</v>
      </c>
      <c r="B40" s="13" t="s">
        <v>191</v>
      </c>
      <c r="C40" s="14" t="s">
        <v>197</v>
      </c>
      <c r="D40" s="13" t="s">
        <v>98</v>
      </c>
      <c r="E40" s="13" t="s">
        <v>56</v>
      </c>
      <c r="F40" s="13"/>
      <c r="G40" s="14" t="s">
        <v>193</v>
      </c>
      <c r="H40" s="13" t="s">
        <v>19</v>
      </c>
      <c r="I40" s="13" t="s">
        <v>14</v>
      </c>
      <c r="J40" s="13" t="s">
        <v>194</v>
      </c>
      <c r="K40" s="14" t="s">
        <v>195</v>
      </c>
      <c r="L40" s="13" t="s">
        <v>47</v>
      </c>
      <c r="M40" s="13" t="s">
        <v>7</v>
      </c>
      <c r="N40" s="13" t="s">
        <v>48</v>
      </c>
    </row>
    <row r="41" spans="1:14" ht="26.1">
      <c r="A41" s="13" t="s">
        <v>198</v>
      </c>
      <c r="B41" s="13" t="s">
        <v>191</v>
      </c>
      <c r="C41" s="14" t="s">
        <v>199</v>
      </c>
      <c r="D41" s="13" t="s">
        <v>42</v>
      </c>
      <c r="E41" s="13" t="s">
        <v>56</v>
      </c>
      <c r="F41" s="13"/>
      <c r="G41" s="14" t="s">
        <v>193</v>
      </c>
      <c r="H41" s="13" t="s">
        <v>19</v>
      </c>
      <c r="I41" s="13" t="s">
        <v>14</v>
      </c>
      <c r="J41" s="13" t="s">
        <v>194</v>
      </c>
      <c r="K41" s="14" t="s">
        <v>195</v>
      </c>
      <c r="L41" s="13" t="s">
        <v>47</v>
      </c>
      <c r="M41" s="13" t="s">
        <v>7</v>
      </c>
      <c r="N41" s="13" t="s">
        <v>48</v>
      </c>
    </row>
    <row r="42" spans="1:14" ht="26.1">
      <c r="A42" s="13" t="s">
        <v>200</v>
      </c>
      <c r="B42" s="13" t="s">
        <v>191</v>
      </c>
      <c r="C42" s="14" t="s">
        <v>201</v>
      </c>
      <c r="D42" s="13" t="s">
        <v>42</v>
      </c>
      <c r="E42" s="13" t="s">
        <v>56</v>
      </c>
      <c r="F42" s="13"/>
      <c r="G42" s="14" t="s">
        <v>193</v>
      </c>
      <c r="H42" s="13" t="s">
        <v>19</v>
      </c>
      <c r="I42" s="13" t="s">
        <v>14</v>
      </c>
      <c r="J42" s="13" t="s">
        <v>194</v>
      </c>
      <c r="K42" s="14" t="s">
        <v>195</v>
      </c>
      <c r="L42" s="13" t="s">
        <v>47</v>
      </c>
      <c r="M42" s="13" t="s">
        <v>7</v>
      </c>
      <c r="N42" s="13" t="s">
        <v>48</v>
      </c>
    </row>
    <row r="43" spans="1:14" ht="26.1">
      <c r="A43" s="13" t="s">
        <v>202</v>
      </c>
      <c r="B43" s="13" t="s">
        <v>191</v>
      </c>
      <c r="C43" s="14" t="s">
        <v>203</v>
      </c>
      <c r="D43" s="13" t="s">
        <v>42</v>
      </c>
      <c r="E43" s="13" t="s">
        <v>56</v>
      </c>
      <c r="F43" s="13"/>
      <c r="G43" s="14" t="s">
        <v>193</v>
      </c>
      <c r="H43" s="13" t="s">
        <v>19</v>
      </c>
      <c r="I43" s="13" t="s">
        <v>14</v>
      </c>
      <c r="J43" s="13" t="s">
        <v>194</v>
      </c>
      <c r="K43" s="14" t="s">
        <v>195</v>
      </c>
      <c r="L43" s="13" t="s">
        <v>47</v>
      </c>
      <c r="M43" s="13" t="s">
        <v>7</v>
      </c>
      <c r="N43" s="13" t="s">
        <v>48</v>
      </c>
    </row>
    <row r="44" spans="1:14" ht="26.1">
      <c r="A44" s="13" t="s">
        <v>204</v>
      </c>
      <c r="B44" s="13" t="s">
        <v>191</v>
      </c>
      <c r="C44" s="14" t="s">
        <v>205</v>
      </c>
      <c r="D44" s="13" t="s">
        <v>42</v>
      </c>
      <c r="E44" s="13" t="s">
        <v>56</v>
      </c>
      <c r="F44" s="13"/>
      <c r="G44" s="14" t="s">
        <v>193</v>
      </c>
      <c r="H44" s="13" t="s">
        <v>19</v>
      </c>
      <c r="I44" s="13" t="s">
        <v>14</v>
      </c>
      <c r="J44" s="13" t="s">
        <v>194</v>
      </c>
      <c r="K44" s="14" t="s">
        <v>195</v>
      </c>
      <c r="L44" s="13" t="s">
        <v>47</v>
      </c>
      <c r="M44" s="13" t="s">
        <v>7</v>
      </c>
      <c r="N44" s="13" t="s">
        <v>48</v>
      </c>
    </row>
    <row r="45" spans="1:14" ht="26.1">
      <c r="A45" s="13" t="s">
        <v>206</v>
      </c>
      <c r="B45" s="13" t="s">
        <v>191</v>
      </c>
      <c r="C45" s="14" t="s">
        <v>207</v>
      </c>
      <c r="D45" s="13" t="s">
        <v>42</v>
      </c>
      <c r="E45" s="13" t="s">
        <v>56</v>
      </c>
      <c r="F45" s="13"/>
      <c r="G45" s="14" t="s">
        <v>193</v>
      </c>
      <c r="H45" s="13" t="s">
        <v>19</v>
      </c>
      <c r="I45" s="13" t="s">
        <v>14</v>
      </c>
      <c r="J45" s="13" t="s">
        <v>194</v>
      </c>
      <c r="K45" s="14" t="s">
        <v>195</v>
      </c>
      <c r="L45" s="13" t="s">
        <v>47</v>
      </c>
      <c r="M45" s="13" t="s">
        <v>7</v>
      </c>
      <c r="N45" s="13" t="s">
        <v>48</v>
      </c>
    </row>
    <row r="46" spans="1:14" ht="26.1">
      <c r="A46" s="13" t="s">
        <v>208</v>
      </c>
      <c r="B46" s="13" t="s">
        <v>60</v>
      </c>
      <c r="C46" s="14" t="s">
        <v>209</v>
      </c>
      <c r="D46" s="13" t="s">
        <v>98</v>
      </c>
      <c r="E46" s="13" t="s">
        <v>56</v>
      </c>
      <c r="F46" s="13"/>
      <c r="G46" s="14" t="s">
        <v>210</v>
      </c>
      <c r="H46" s="13" t="s">
        <v>15</v>
      </c>
      <c r="I46" s="13" t="s">
        <v>16</v>
      </c>
      <c r="J46" s="13" t="s">
        <v>211</v>
      </c>
      <c r="K46" s="14" t="s">
        <v>212</v>
      </c>
      <c r="L46" s="13" t="s">
        <v>47</v>
      </c>
      <c r="M46" s="13" t="s">
        <v>7</v>
      </c>
      <c r="N46" s="13" t="s">
        <v>48</v>
      </c>
    </row>
    <row r="47" spans="1:14" ht="26.1">
      <c r="A47" s="13" t="s">
        <v>213</v>
      </c>
      <c r="B47" s="13" t="s">
        <v>60</v>
      </c>
      <c r="C47" s="14" t="s">
        <v>214</v>
      </c>
      <c r="D47" s="13" t="s">
        <v>98</v>
      </c>
      <c r="E47" s="13" t="s">
        <v>56</v>
      </c>
      <c r="F47" s="13"/>
      <c r="G47" s="14" t="s">
        <v>210</v>
      </c>
      <c r="H47" s="13" t="s">
        <v>15</v>
      </c>
      <c r="I47" s="13" t="s">
        <v>16</v>
      </c>
      <c r="J47" s="13" t="s">
        <v>211</v>
      </c>
      <c r="K47" s="14" t="s">
        <v>212</v>
      </c>
      <c r="L47" s="13" t="s">
        <v>47</v>
      </c>
      <c r="M47" s="13" t="s">
        <v>7</v>
      </c>
      <c r="N47" s="13" t="s">
        <v>48</v>
      </c>
    </row>
    <row r="48" spans="1:14" ht="26.1">
      <c r="A48" s="13" t="s">
        <v>215</v>
      </c>
      <c r="B48" s="13" t="s">
        <v>60</v>
      </c>
      <c r="C48" s="14" t="s">
        <v>216</v>
      </c>
      <c r="D48" s="13" t="s">
        <v>98</v>
      </c>
      <c r="E48" s="13" t="s">
        <v>56</v>
      </c>
      <c r="F48" s="13"/>
      <c r="G48" s="14" t="s">
        <v>210</v>
      </c>
      <c r="H48" s="13" t="s">
        <v>15</v>
      </c>
      <c r="I48" s="13" t="s">
        <v>16</v>
      </c>
      <c r="J48" s="13" t="s">
        <v>211</v>
      </c>
      <c r="K48" s="14" t="s">
        <v>212</v>
      </c>
      <c r="L48" s="13" t="s">
        <v>47</v>
      </c>
      <c r="M48" s="13" t="s">
        <v>7</v>
      </c>
      <c r="N48" s="13" t="s">
        <v>48</v>
      </c>
    </row>
    <row r="49" spans="1:14" ht="26.1">
      <c r="A49" s="13" t="s">
        <v>217</v>
      </c>
      <c r="B49" s="13" t="s">
        <v>76</v>
      </c>
      <c r="C49" s="14" t="s">
        <v>218</v>
      </c>
      <c r="D49" s="13" t="s">
        <v>42</v>
      </c>
      <c r="E49" s="13" t="s">
        <v>56</v>
      </c>
      <c r="F49" s="13"/>
      <c r="G49" s="14" t="s">
        <v>210</v>
      </c>
      <c r="H49" s="13" t="s">
        <v>15</v>
      </c>
      <c r="I49" s="13" t="s">
        <v>16</v>
      </c>
      <c r="J49" s="13" t="s">
        <v>211</v>
      </c>
      <c r="K49" s="14" t="s">
        <v>212</v>
      </c>
      <c r="L49" s="13" t="s">
        <v>47</v>
      </c>
      <c r="M49" s="13" t="s">
        <v>7</v>
      </c>
      <c r="N49" s="13" t="s">
        <v>48</v>
      </c>
    </row>
    <row r="50" spans="1:14" ht="26.1">
      <c r="A50" s="13" t="s">
        <v>219</v>
      </c>
      <c r="B50" s="13" t="s">
        <v>60</v>
      </c>
      <c r="C50" s="14" t="s">
        <v>220</v>
      </c>
      <c r="D50" s="13" t="s">
        <v>42</v>
      </c>
      <c r="E50" s="13" t="s">
        <v>56</v>
      </c>
      <c r="F50" s="13"/>
      <c r="G50" s="14" t="s">
        <v>210</v>
      </c>
      <c r="H50" s="13" t="s">
        <v>15</v>
      </c>
      <c r="I50" s="13" t="s">
        <v>16</v>
      </c>
      <c r="J50" s="13" t="s">
        <v>211</v>
      </c>
      <c r="K50" s="14" t="s">
        <v>212</v>
      </c>
      <c r="L50" s="13" t="s">
        <v>47</v>
      </c>
      <c r="M50" s="13" t="s">
        <v>7</v>
      </c>
      <c r="N50" s="13" t="s">
        <v>48</v>
      </c>
    </row>
    <row r="51" spans="1:14" ht="26.1">
      <c r="A51" s="13" t="s">
        <v>221</v>
      </c>
      <c r="B51" s="13" t="s">
        <v>76</v>
      </c>
      <c r="C51" s="14" t="s">
        <v>222</v>
      </c>
      <c r="D51" s="13" t="s">
        <v>42</v>
      </c>
      <c r="E51" s="13" t="s">
        <v>56</v>
      </c>
      <c r="F51" s="13"/>
      <c r="G51" s="14" t="s">
        <v>210</v>
      </c>
      <c r="H51" s="13" t="s">
        <v>15</v>
      </c>
      <c r="I51" s="13" t="s">
        <v>16</v>
      </c>
      <c r="J51" s="13" t="s">
        <v>211</v>
      </c>
      <c r="K51" s="14" t="s">
        <v>212</v>
      </c>
      <c r="L51" s="13" t="s">
        <v>47</v>
      </c>
      <c r="M51" s="13" t="s">
        <v>7</v>
      </c>
      <c r="N51" s="13" t="s">
        <v>48</v>
      </c>
    </row>
    <row r="52" spans="1:14" ht="26.1">
      <c r="A52" s="13" t="s">
        <v>223</v>
      </c>
      <c r="B52" s="13" t="s">
        <v>76</v>
      </c>
      <c r="C52" s="14" t="s">
        <v>224</v>
      </c>
      <c r="D52" s="13" t="s">
        <v>98</v>
      </c>
      <c r="E52" s="13" t="s">
        <v>56</v>
      </c>
      <c r="F52" s="13"/>
      <c r="G52" s="14" t="s">
        <v>210</v>
      </c>
      <c r="H52" s="13" t="s">
        <v>15</v>
      </c>
      <c r="I52" s="13" t="s">
        <v>16</v>
      </c>
      <c r="J52" s="13" t="s">
        <v>211</v>
      </c>
      <c r="K52" s="14" t="s">
        <v>212</v>
      </c>
      <c r="L52" s="13" t="s">
        <v>47</v>
      </c>
      <c r="M52" s="13" t="s">
        <v>7</v>
      </c>
      <c r="N52" s="13" t="s">
        <v>48</v>
      </c>
    </row>
    <row r="53" spans="1:14" ht="26.1">
      <c r="A53" s="13" t="s">
        <v>225</v>
      </c>
      <c r="B53" s="13" t="s">
        <v>76</v>
      </c>
      <c r="C53" s="14" t="s">
        <v>226</v>
      </c>
      <c r="D53" s="13" t="s">
        <v>98</v>
      </c>
      <c r="E53" s="13" t="s">
        <v>56</v>
      </c>
      <c r="F53" s="13"/>
      <c r="G53" s="14" t="s">
        <v>210</v>
      </c>
      <c r="H53" s="13" t="s">
        <v>15</v>
      </c>
      <c r="I53" s="13" t="s">
        <v>16</v>
      </c>
      <c r="J53" s="13" t="s">
        <v>211</v>
      </c>
      <c r="K53" s="14" t="s">
        <v>212</v>
      </c>
      <c r="L53" s="13" t="s">
        <v>47</v>
      </c>
      <c r="M53" s="13" t="s">
        <v>7</v>
      </c>
      <c r="N53" s="13" t="s">
        <v>48</v>
      </c>
    </row>
    <row r="54" spans="1:14" ht="26.1">
      <c r="A54" s="13" t="s">
        <v>227</v>
      </c>
      <c r="B54" s="13" t="s">
        <v>60</v>
      </c>
      <c r="C54" s="14" t="s">
        <v>228</v>
      </c>
      <c r="D54" s="13" t="s">
        <v>98</v>
      </c>
      <c r="E54" s="13" t="s">
        <v>56</v>
      </c>
      <c r="F54" s="13"/>
      <c r="G54" s="14" t="s">
        <v>210</v>
      </c>
      <c r="H54" s="13" t="s">
        <v>15</v>
      </c>
      <c r="I54" s="13" t="s">
        <v>16</v>
      </c>
      <c r="J54" s="13" t="s">
        <v>211</v>
      </c>
      <c r="K54" s="14" t="s">
        <v>212</v>
      </c>
      <c r="L54" s="13" t="s">
        <v>47</v>
      </c>
      <c r="M54" s="13" t="s">
        <v>7</v>
      </c>
      <c r="N54" s="13" t="s">
        <v>48</v>
      </c>
    </row>
    <row r="55" spans="1:14" ht="26.1">
      <c r="A55" s="13" t="s">
        <v>229</v>
      </c>
      <c r="B55" s="13" t="s">
        <v>76</v>
      </c>
      <c r="C55" s="14" t="s">
        <v>230</v>
      </c>
      <c r="D55" s="13" t="s">
        <v>98</v>
      </c>
      <c r="E55" s="13" t="s">
        <v>56</v>
      </c>
      <c r="F55" s="13"/>
      <c r="G55" s="14" t="s">
        <v>210</v>
      </c>
      <c r="H55" s="13" t="s">
        <v>15</v>
      </c>
      <c r="I55" s="13" t="s">
        <v>16</v>
      </c>
      <c r="J55" s="13" t="s">
        <v>211</v>
      </c>
      <c r="K55" s="14" t="s">
        <v>212</v>
      </c>
      <c r="L55" s="13" t="s">
        <v>47</v>
      </c>
      <c r="M55" s="13" t="s">
        <v>7</v>
      </c>
      <c r="N55" s="13" t="s">
        <v>48</v>
      </c>
    </row>
    <row r="56" spans="1:14" ht="26.1">
      <c r="A56" s="13" t="s">
        <v>231</v>
      </c>
      <c r="B56" s="13" t="s">
        <v>76</v>
      </c>
      <c r="C56" s="14" t="s">
        <v>232</v>
      </c>
      <c r="D56" s="13" t="s">
        <v>98</v>
      </c>
      <c r="E56" s="13" t="s">
        <v>56</v>
      </c>
      <c r="F56" s="13"/>
      <c r="G56" s="14" t="s">
        <v>210</v>
      </c>
      <c r="H56" s="13" t="s">
        <v>15</v>
      </c>
      <c r="I56" s="13" t="s">
        <v>16</v>
      </c>
      <c r="J56" s="13" t="s">
        <v>211</v>
      </c>
      <c r="K56" s="14" t="s">
        <v>212</v>
      </c>
      <c r="L56" s="13" t="s">
        <v>47</v>
      </c>
      <c r="M56" s="13" t="s">
        <v>7</v>
      </c>
      <c r="N56" s="13" t="s">
        <v>48</v>
      </c>
    </row>
    <row r="57" spans="1:14" ht="26.1">
      <c r="A57" s="13" t="s">
        <v>233</v>
      </c>
      <c r="B57" s="13" t="s">
        <v>76</v>
      </c>
      <c r="C57" s="14" t="s">
        <v>234</v>
      </c>
      <c r="D57" s="13" t="s">
        <v>98</v>
      </c>
      <c r="E57" s="13" t="s">
        <v>56</v>
      </c>
      <c r="F57" s="13"/>
      <c r="G57" s="14" t="s">
        <v>210</v>
      </c>
      <c r="H57" s="13" t="s">
        <v>15</v>
      </c>
      <c r="I57" s="13" t="s">
        <v>16</v>
      </c>
      <c r="J57" s="13" t="s">
        <v>211</v>
      </c>
      <c r="K57" s="14" t="s">
        <v>212</v>
      </c>
      <c r="L57" s="13" t="s">
        <v>47</v>
      </c>
      <c r="M57" s="13" t="s">
        <v>7</v>
      </c>
      <c r="N57" s="13" t="s">
        <v>48</v>
      </c>
    </row>
    <row r="58" spans="1:14" ht="26.1">
      <c r="A58" s="13" t="s">
        <v>235</v>
      </c>
      <c r="B58" s="13" t="s">
        <v>76</v>
      </c>
      <c r="C58" s="14" t="s">
        <v>236</v>
      </c>
      <c r="D58" s="13" t="s">
        <v>153</v>
      </c>
      <c r="E58" s="13" t="s">
        <v>56</v>
      </c>
      <c r="F58" s="13"/>
      <c r="G58" s="14" t="s">
        <v>210</v>
      </c>
      <c r="H58" s="13" t="s">
        <v>15</v>
      </c>
      <c r="I58" s="13" t="s">
        <v>16</v>
      </c>
      <c r="J58" s="13" t="s">
        <v>211</v>
      </c>
      <c r="K58" s="14" t="s">
        <v>212</v>
      </c>
      <c r="L58" s="13" t="s">
        <v>47</v>
      </c>
      <c r="M58" s="13" t="s">
        <v>7</v>
      </c>
      <c r="N58" s="13" t="s">
        <v>48</v>
      </c>
    </row>
    <row r="59" spans="1:14" ht="26.1">
      <c r="A59" s="13" t="s">
        <v>237</v>
      </c>
      <c r="B59" s="13" t="s">
        <v>76</v>
      </c>
      <c r="C59" s="14" t="s">
        <v>238</v>
      </c>
      <c r="D59" s="13" t="s">
        <v>153</v>
      </c>
      <c r="E59" s="13" t="s">
        <v>56</v>
      </c>
      <c r="F59" s="13"/>
      <c r="G59" s="14" t="s">
        <v>210</v>
      </c>
      <c r="H59" s="13" t="s">
        <v>15</v>
      </c>
      <c r="I59" s="13" t="s">
        <v>16</v>
      </c>
      <c r="J59" s="13" t="s">
        <v>211</v>
      </c>
      <c r="K59" s="14" t="s">
        <v>212</v>
      </c>
      <c r="L59" s="13" t="s">
        <v>47</v>
      </c>
      <c r="M59" s="13" t="s">
        <v>7</v>
      </c>
      <c r="N59" s="13" t="s">
        <v>48</v>
      </c>
    </row>
    <row r="60" spans="1:14" ht="26.1">
      <c r="A60" s="13" t="s">
        <v>239</v>
      </c>
      <c r="B60" s="13" t="s">
        <v>76</v>
      </c>
      <c r="C60" s="14" t="s">
        <v>240</v>
      </c>
      <c r="D60" s="13" t="s">
        <v>153</v>
      </c>
      <c r="E60" s="13" t="s">
        <v>56</v>
      </c>
      <c r="F60" s="13"/>
      <c r="G60" s="14" t="s">
        <v>210</v>
      </c>
      <c r="H60" s="13" t="s">
        <v>15</v>
      </c>
      <c r="I60" s="13" t="s">
        <v>16</v>
      </c>
      <c r="J60" s="13" t="s">
        <v>211</v>
      </c>
      <c r="K60" s="14" t="s">
        <v>212</v>
      </c>
      <c r="L60" s="13" t="s">
        <v>47</v>
      </c>
      <c r="M60" s="13" t="s">
        <v>7</v>
      </c>
      <c r="N60" s="13" t="s">
        <v>48</v>
      </c>
    </row>
    <row r="61" spans="1:14" ht="26.1">
      <c r="A61" s="13" t="s">
        <v>241</v>
      </c>
      <c r="B61" s="13" t="s">
        <v>76</v>
      </c>
      <c r="C61" s="14" t="s">
        <v>242</v>
      </c>
      <c r="D61" s="13" t="s">
        <v>153</v>
      </c>
      <c r="E61" s="13" t="s">
        <v>56</v>
      </c>
      <c r="F61" s="13"/>
      <c r="G61" s="14" t="s">
        <v>210</v>
      </c>
      <c r="H61" s="13" t="s">
        <v>15</v>
      </c>
      <c r="I61" s="13" t="s">
        <v>16</v>
      </c>
      <c r="J61" s="13" t="s">
        <v>211</v>
      </c>
      <c r="K61" s="14" t="s">
        <v>212</v>
      </c>
      <c r="L61" s="13" t="s">
        <v>47</v>
      </c>
      <c r="M61" s="13" t="s">
        <v>7</v>
      </c>
      <c r="N61" s="13" t="s">
        <v>48</v>
      </c>
    </row>
    <row r="62" spans="1:14" ht="26.1">
      <c r="A62" s="13" t="s">
        <v>243</v>
      </c>
      <c r="B62" s="13" t="s">
        <v>76</v>
      </c>
      <c r="C62" s="14" t="s">
        <v>244</v>
      </c>
      <c r="D62" s="13" t="s">
        <v>42</v>
      </c>
      <c r="E62" s="13" t="s">
        <v>56</v>
      </c>
      <c r="F62" s="13"/>
      <c r="G62" s="14" t="s">
        <v>210</v>
      </c>
      <c r="H62" s="13" t="s">
        <v>15</v>
      </c>
      <c r="I62" s="13" t="s">
        <v>16</v>
      </c>
      <c r="J62" s="13" t="s">
        <v>211</v>
      </c>
      <c r="K62" s="14" t="s">
        <v>212</v>
      </c>
      <c r="L62" s="13" t="s">
        <v>47</v>
      </c>
      <c r="M62" s="13" t="s">
        <v>7</v>
      </c>
      <c r="N62" s="13" t="s">
        <v>48</v>
      </c>
    </row>
    <row r="63" spans="1:14" ht="26.1">
      <c r="A63" s="13" t="s">
        <v>245</v>
      </c>
      <c r="B63" s="13" t="s">
        <v>76</v>
      </c>
      <c r="C63" s="14" t="s">
        <v>246</v>
      </c>
      <c r="D63" s="13" t="s">
        <v>42</v>
      </c>
      <c r="E63" s="13" t="s">
        <v>56</v>
      </c>
      <c r="F63" s="13"/>
      <c r="G63" s="14" t="s">
        <v>210</v>
      </c>
      <c r="H63" s="13" t="s">
        <v>15</v>
      </c>
      <c r="I63" s="13" t="s">
        <v>16</v>
      </c>
      <c r="J63" s="13" t="s">
        <v>211</v>
      </c>
      <c r="K63" s="14" t="s">
        <v>212</v>
      </c>
      <c r="L63" s="13" t="s">
        <v>47</v>
      </c>
      <c r="M63" s="13" t="s">
        <v>7</v>
      </c>
      <c r="N63" s="13" t="s">
        <v>48</v>
      </c>
    </row>
    <row r="64" spans="1:14" ht="26.1">
      <c r="A64" s="13" t="s">
        <v>247</v>
      </c>
      <c r="B64" s="13" t="s">
        <v>76</v>
      </c>
      <c r="C64" s="14" t="s">
        <v>248</v>
      </c>
      <c r="D64" s="13" t="s">
        <v>42</v>
      </c>
      <c r="E64" s="13" t="s">
        <v>56</v>
      </c>
      <c r="F64" s="13"/>
      <c r="G64" s="14" t="s">
        <v>210</v>
      </c>
      <c r="H64" s="13" t="s">
        <v>15</v>
      </c>
      <c r="I64" s="13" t="s">
        <v>16</v>
      </c>
      <c r="J64" s="13" t="s">
        <v>211</v>
      </c>
      <c r="K64" s="14" t="s">
        <v>212</v>
      </c>
      <c r="L64" s="13" t="s">
        <v>47</v>
      </c>
      <c r="M64" s="13" t="s">
        <v>7</v>
      </c>
      <c r="N64" s="13" t="s">
        <v>48</v>
      </c>
    </row>
    <row r="65" spans="1:14" ht="26.1">
      <c r="A65" s="13" t="s">
        <v>249</v>
      </c>
      <c r="B65" s="13" t="s">
        <v>76</v>
      </c>
      <c r="C65" s="14" t="s">
        <v>250</v>
      </c>
      <c r="D65" s="13" t="s">
        <v>42</v>
      </c>
      <c r="E65" s="13" t="s">
        <v>56</v>
      </c>
      <c r="F65" s="13"/>
      <c r="G65" s="14" t="s">
        <v>210</v>
      </c>
      <c r="H65" s="13" t="s">
        <v>15</v>
      </c>
      <c r="I65" s="13" t="s">
        <v>16</v>
      </c>
      <c r="J65" s="13" t="s">
        <v>211</v>
      </c>
      <c r="K65" s="14" t="s">
        <v>212</v>
      </c>
      <c r="L65" s="13" t="s">
        <v>47</v>
      </c>
      <c r="M65" s="13" t="s">
        <v>7</v>
      </c>
      <c r="N65" s="13" t="s">
        <v>48</v>
      </c>
    </row>
    <row r="66" spans="1:14">
      <c r="A66" s="13" t="s">
        <v>251</v>
      </c>
      <c r="B66" s="13" t="s">
        <v>76</v>
      </c>
      <c r="C66" s="14" t="s">
        <v>252</v>
      </c>
      <c r="D66" s="13" t="s">
        <v>253</v>
      </c>
      <c r="E66" s="13" t="s">
        <v>56</v>
      </c>
      <c r="F66" s="13"/>
      <c r="G66" s="14" t="s">
        <v>254</v>
      </c>
      <c r="H66" s="13" t="s">
        <v>15</v>
      </c>
      <c r="I66" s="13" t="s">
        <v>16</v>
      </c>
      <c r="J66" s="13" t="s">
        <v>67</v>
      </c>
      <c r="K66" s="14" t="s">
        <v>255</v>
      </c>
      <c r="L66" s="13" t="s">
        <v>47</v>
      </c>
      <c r="M66" s="13" t="s">
        <v>7</v>
      </c>
      <c r="N66" s="13" t="s">
        <v>48</v>
      </c>
    </row>
    <row r="67" spans="1:14">
      <c r="A67" s="13" t="s">
        <v>256</v>
      </c>
      <c r="B67" s="13" t="s">
        <v>76</v>
      </c>
      <c r="C67" s="14" t="s">
        <v>257</v>
      </c>
      <c r="D67" s="13" t="s">
        <v>98</v>
      </c>
      <c r="E67" s="13" t="s">
        <v>56</v>
      </c>
      <c r="F67" s="13"/>
      <c r="G67" s="14" t="s">
        <v>258</v>
      </c>
      <c r="H67" s="13" t="s">
        <v>15</v>
      </c>
      <c r="I67" s="13" t="s">
        <v>16</v>
      </c>
      <c r="J67" s="13" t="s">
        <v>67</v>
      </c>
      <c r="K67" s="14" t="s">
        <v>259</v>
      </c>
      <c r="L67" s="13" t="s">
        <v>47</v>
      </c>
      <c r="M67" s="13" t="s">
        <v>7</v>
      </c>
      <c r="N67" s="13" t="s">
        <v>48</v>
      </c>
    </row>
    <row r="68" spans="1:14">
      <c r="A68" s="13" t="s">
        <v>260</v>
      </c>
      <c r="B68" s="13" t="s">
        <v>76</v>
      </c>
      <c r="C68" s="14" t="s">
        <v>261</v>
      </c>
      <c r="D68" s="13" t="s">
        <v>153</v>
      </c>
      <c r="E68" s="13" t="s">
        <v>56</v>
      </c>
      <c r="F68" s="13"/>
      <c r="G68" s="14" t="s">
        <v>258</v>
      </c>
      <c r="H68" s="13" t="s">
        <v>15</v>
      </c>
      <c r="I68" s="13" t="s">
        <v>16</v>
      </c>
      <c r="J68" s="13" t="s">
        <v>67</v>
      </c>
      <c r="K68" s="14" t="s">
        <v>262</v>
      </c>
      <c r="L68" s="13" t="s">
        <v>47</v>
      </c>
      <c r="M68" s="13" t="s">
        <v>7</v>
      </c>
      <c r="N68" s="13" t="s">
        <v>48</v>
      </c>
    </row>
    <row r="69" spans="1:14">
      <c r="A69" s="13" t="s">
        <v>263</v>
      </c>
      <c r="B69" s="13" t="s">
        <v>76</v>
      </c>
      <c r="C69" s="14" t="s">
        <v>264</v>
      </c>
      <c r="D69" s="13" t="s">
        <v>153</v>
      </c>
      <c r="E69" s="13" t="s">
        <v>56</v>
      </c>
      <c r="F69" s="13"/>
      <c r="G69" s="14" t="s">
        <v>265</v>
      </c>
      <c r="H69" s="13" t="s">
        <v>15</v>
      </c>
      <c r="I69" s="13" t="s">
        <v>14</v>
      </c>
      <c r="J69" s="13" t="s">
        <v>67</v>
      </c>
      <c r="K69" s="14" t="s">
        <v>266</v>
      </c>
      <c r="L69" s="13" t="s">
        <v>47</v>
      </c>
      <c r="M69" s="13" t="s">
        <v>7</v>
      </c>
      <c r="N69" s="13" t="s">
        <v>48</v>
      </c>
    </row>
    <row r="70" spans="1:14">
      <c r="A70" s="13" t="s">
        <v>267</v>
      </c>
      <c r="B70" s="13" t="s">
        <v>40</v>
      </c>
      <c r="C70" s="14" t="s">
        <v>268</v>
      </c>
      <c r="D70" s="13" t="s">
        <v>42</v>
      </c>
      <c r="E70" s="13" t="s">
        <v>56</v>
      </c>
      <c r="F70" s="13"/>
      <c r="G70" s="14" t="s">
        <v>269</v>
      </c>
      <c r="H70" s="13" t="s">
        <v>13</v>
      </c>
      <c r="I70" s="13" t="s">
        <v>18</v>
      </c>
      <c r="J70" s="13" t="s">
        <v>270</v>
      </c>
      <c r="K70" s="14" t="s">
        <v>271</v>
      </c>
      <c r="L70" s="13" t="s">
        <v>47</v>
      </c>
      <c r="M70" s="13" t="s">
        <v>7</v>
      </c>
      <c r="N70" s="13" t="s">
        <v>48</v>
      </c>
    </row>
    <row r="71" spans="1:14">
      <c r="A71" s="13" t="s">
        <v>272</v>
      </c>
      <c r="B71" s="13" t="s">
        <v>40</v>
      </c>
      <c r="C71" s="14" t="s">
        <v>273</v>
      </c>
      <c r="D71" s="13" t="s">
        <v>42</v>
      </c>
      <c r="E71" s="13" t="s">
        <v>56</v>
      </c>
      <c r="F71" s="13"/>
      <c r="G71" s="14" t="s">
        <v>274</v>
      </c>
      <c r="H71" s="13" t="s">
        <v>15</v>
      </c>
      <c r="I71" s="13" t="s">
        <v>16</v>
      </c>
      <c r="J71" s="13" t="s">
        <v>270</v>
      </c>
      <c r="K71" s="14" t="s">
        <v>275</v>
      </c>
      <c r="L71" s="13" t="s">
        <v>47</v>
      </c>
      <c r="M71" s="13" t="s">
        <v>7</v>
      </c>
      <c r="N71" s="13" t="s">
        <v>48</v>
      </c>
    </row>
    <row r="72" spans="1:14">
      <c r="A72" s="13" t="s">
        <v>276</v>
      </c>
      <c r="B72" s="13" t="s">
        <v>76</v>
      </c>
      <c r="C72" s="14" t="s">
        <v>277</v>
      </c>
      <c r="D72" s="13" t="s">
        <v>42</v>
      </c>
      <c r="E72" s="13" t="s">
        <v>56</v>
      </c>
      <c r="F72" s="13"/>
      <c r="G72" s="14" t="s">
        <v>108</v>
      </c>
      <c r="H72" s="13" t="s">
        <v>15</v>
      </c>
      <c r="I72" s="13" t="s">
        <v>16</v>
      </c>
      <c r="J72" s="13" t="s">
        <v>109</v>
      </c>
      <c r="K72" s="14" t="s">
        <v>110</v>
      </c>
      <c r="L72" s="13" t="s">
        <v>47</v>
      </c>
      <c r="M72" s="13" t="s">
        <v>7</v>
      </c>
      <c r="N72" s="13" t="s">
        <v>48</v>
      </c>
    </row>
    <row r="73" spans="1:14">
      <c r="A73" s="13" t="s">
        <v>278</v>
      </c>
      <c r="B73" s="13" t="s">
        <v>76</v>
      </c>
      <c r="C73" s="14" t="s">
        <v>279</v>
      </c>
      <c r="D73" s="13" t="s">
        <v>42</v>
      </c>
      <c r="E73" s="13" t="s">
        <v>56</v>
      </c>
      <c r="F73" s="13"/>
      <c r="G73" s="14" t="s">
        <v>108</v>
      </c>
      <c r="H73" s="13" t="s">
        <v>15</v>
      </c>
      <c r="I73" s="13" t="s">
        <v>16</v>
      </c>
      <c r="J73" s="13" t="s">
        <v>109</v>
      </c>
      <c r="K73" s="14" t="s">
        <v>110</v>
      </c>
      <c r="L73" s="13" t="s">
        <v>47</v>
      </c>
      <c r="M73" s="13" t="s">
        <v>7</v>
      </c>
      <c r="N73" s="13" t="s">
        <v>48</v>
      </c>
    </row>
    <row r="74" spans="1:14">
      <c r="A74" s="13" t="s">
        <v>280</v>
      </c>
      <c r="B74" s="13" t="s">
        <v>191</v>
      </c>
      <c r="C74" s="14" t="s">
        <v>281</v>
      </c>
      <c r="D74" s="13" t="s">
        <v>42</v>
      </c>
      <c r="E74" s="13" t="s">
        <v>56</v>
      </c>
      <c r="F74" s="13"/>
      <c r="G74" s="14" t="s">
        <v>282</v>
      </c>
      <c r="H74" s="13" t="s">
        <v>15</v>
      </c>
      <c r="I74" s="13" t="s">
        <v>14</v>
      </c>
      <c r="J74" s="13" t="s">
        <v>67</v>
      </c>
      <c r="K74" s="14" t="s">
        <v>283</v>
      </c>
      <c r="L74" s="13" t="s">
        <v>47</v>
      </c>
      <c r="M74" s="13" t="s">
        <v>7</v>
      </c>
      <c r="N74" s="13" t="s">
        <v>48</v>
      </c>
    </row>
    <row r="75" spans="1:14">
      <c r="A75" s="13" t="s">
        <v>284</v>
      </c>
      <c r="B75" s="13" t="s">
        <v>191</v>
      </c>
      <c r="C75" s="14" t="s">
        <v>285</v>
      </c>
      <c r="D75" s="13" t="s">
        <v>42</v>
      </c>
      <c r="E75" s="13" t="s">
        <v>56</v>
      </c>
      <c r="F75" s="13"/>
      <c r="G75" s="14" t="s">
        <v>286</v>
      </c>
      <c r="H75" s="13" t="s">
        <v>15</v>
      </c>
      <c r="I75" s="13" t="s">
        <v>16</v>
      </c>
      <c r="J75" s="13" t="s">
        <v>114</v>
      </c>
      <c r="K75" s="14" t="s">
        <v>287</v>
      </c>
      <c r="L75" s="13" t="s">
        <v>47</v>
      </c>
      <c r="M75" s="13" t="s">
        <v>7</v>
      </c>
      <c r="N75" s="13" t="s">
        <v>48</v>
      </c>
    </row>
    <row r="76" spans="1:14" ht="26.1">
      <c r="A76" s="13" t="s">
        <v>288</v>
      </c>
      <c r="B76" s="13" t="s">
        <v>70</v>
      </c>
      <c r="C76" s="14" t="s">
        <v>289</v>
      </c>
      <c r="D76" s="13" t="s">
        <v>42</v>
      </c>
      <c r="E76" s="13" t="s">
        <v>56</v>
      </c>
      <c r="F76" s="13"/>
      <c r="G76" s="14" t="s">
        <v>72</v>
      </c>
      <c r="H76" s="13" t="s">
        <v>17</v>
      </c>
      <c r="I76" s="13" t="s">
        <v>16</v>
      </c>
      <c r="J76" s="13" t="s">
        <v>73</v>
      </c>
      <c r="K76" s="14" t="s">
        <v>74</v>
      </c>
      <c r="L76" s="13" t="s">
        <v>47</v>
      </c>
      <c r="M76" s="13" t="s">
        <v>7</v>
      </c>
      <c r="N76" s="13" t="s">
        <v>48</v>
      </c>
    </row>
    <row r="77" spans="1:14" ht="26.1">
      <c r="A77" s="13" t="s">
        <v>290</v>
      </c>
      <c r="B77" s="13" t="s">
        <v>70</v>
      </c>
      <c r="C77" s="14" t="s">
        <v>291</v>
      </c>
      <c r="D77" s="13" t="s">
        <v>42</v>
      </c>
      <c r="E77" s="13" t="s">
        <v>56</v>
      </c>
      <c r="F77" s="13"/>
      <c r="G77" s="14" t="s">
        <v>72</v>
      </c>
      <c r="H77" s="13" t="s">
        <v>17</v>
      </c>
      <c r="I77" s="13" t="s">
        <v>16</v>
      </c>
      <c r="J77" s="13" t="s">
        <v>73</v>
      </c>
      <c r="K77" s="14" t="s">
        <v>74</v>
      </c>
      <c r="L77" s="13" t="s">
        <v>47</v>
      </c>
      <c r="M77" s="13" t="s">
        <v>7</v>
      </c>
      <c r="N77" s="13" t="s">
        <v>48</v>
      </c>
    </row>
    <row r="78" spans="1:14" ht="26.1">
      <c r="A78" s="13" t="s">
        <v>292</v>
      </c>
      <c r="B78" s="13" t="s">
        <v>70</v>
      </c>
      <c r="C78" s="14" t="s">
        <v>293</v>
      </c>
      <c r="D78" s="13" t="s">
        <v>42</v>
      </c>
      <c r="E78" s="13" t="s">
        <v>56</v>
      </c>
      <c r="F78" s="13"/>
      <c r="G78" s="14" t="s">
        <v>72</v>
      </c>
      <c r="H78" s="13" t="s">
        <v>17</v>
      </c>
      <c r="I78" s="13" t="s">
        <v>16</v>
      </c>
      <c r="J78" s="13" t="s">
        <v>73</v>
      </c>
      <c r="K78" s="14" t="s">
        <v>74</v>
      </c>
      <c r="L78" s="13" t="s">
        <v>47</v>
      </c>
      <c r="M78" s="13" t="s">
        <v>7</v>
      </c>
      <c r="N78" s="13" t="s">
        <v>48</v>
      </c>
    </row>
    <row r="79" spans="1:14" ht="26.1">
      <c r="A79" s="13" t="s">
        <v>294</v>
      </c>
      <c r="B79" s="13" t="s">
        <v>70</v>
      </c>
      <c r="C79" s="14" t="s">
        <v>295</v>
      </c>
      <c r="D79" s="13" t="s">
        <v>42</v>
      </c>
      <c r="E79" s="13" t="s">
        <v>56</v>
      </c>
      <c r="F79" s="13"/>
      <c r="G79" s="14" t="s">
        <v>72</v>
      </c>
      <c r="H79" s="13" t="s">
        <v>17</v>
      </c>
      <c r="I79" s="13" t="s">
        <v>16</v>
      </c>
      <c r="J79" s="13" t="s">
        <v>73</v>
      </c>
      <c r="K79" s="14" t="s">
        <v>74</v>
      </c>
      <c r="L79" s="13" t="s">
        <v>47</v>
      </c>
      <c r="M79" s="13" t="s">
        <v>7</v>
      </c>
      <c r="N79" s="13" t="s">
        <v>48</v>
      </c>
    </row>
    <row r="80" spans="1:14" ht="26.1">
      <c r="A80" s="13" t="s">
        <v>296</v>
      </c>
      <c r="B80" s="13" t="s">
        <v>297</v>
      </c>
      <c r="C80" s="14" t="s">
        <v>298</v>
      </c>
      <c r="D80" s="13" t="s">
        <v>42</v>
      </c>
      <c r="E80" s="13" t="s">
        <v>56</v>
      </c>
      <c r="F80" s="13"/>
      <c r="G80" s="14" t="s">
        <v>299</v>
      </c>
      <c r="H80" s="13" t="s">
        <v>15</v>
      </c>
      <c r="I80" s="13" t="s">
        <v>14</v>
      </c>
      <c r="J80" s="13" t="s">
        <v>300</v>
      </c>
      <c r="K80" s="14" t="s">
        <v>301</v>
      </c>
      <c r="L80" s="13" t="s">
        <v>47</v>
      </c>
      <c r="M80" s="13" t="s">
        <v>7</v>
      </c>
      <c r="N80" s="13" t="s">
        <v>48</v>
      </c>
    </row>
    <row r="81" spans="1:14">
      <c r="A81" s="13" t="s">
        <v>302</v>
      </c>
      <c r="B81" s="13" t="s">
        <v>60</v>
      </c>
      <c r="C81" s="14" t="s">
        <v>303</v>
      </c>
      <c r="D81" s="13" t="s">
        <v>42</v>
      </c>
      <c r="E81" s="13" t="s">
        <v>56</v>
      </c>
      <c r="F81" s="13"/>
      <c r="G81" s="14" t="s">
        <v>304</v>
      </c>
      <c r="H81" s="13" t="s">
        <v>15</v>
      </c>
      <c r="I81" s="13" t="s">
        <v>14</v>
      </c>
      <c r="J81" s="13" t="s">
        <v>67</v>
      </c>
      <c r="K81" s="14" t="s">
        <v>305</v>
      </c>
      <c r="L81" s="13" t="s">
        <v>47</v>
      </c>
      <c r="M81" s="13" t="s">
        <v>7</v>
      </c>
      <c r="N81" s="13" t="s">
        <v>48</v>
      </c>
    </row>
    <row r="82" spans="1:14" ht="26.1">
      <c r="A82" s="13" t="s">
        <v>306</v>
      </c>
      <c r="B82" s="13" t="s">
        <v>70</v>
      </c>
      <c r="C82" s="14" t="s">
        <v>307</v>
      </c>
      <c r="D82" s="13" t="s">
        <v>153</v>
      </c>
      <c r="E82" s="13" t="s">
        <v>56</v>
      </c>
      <c r="F82" s="13"/>
      <c r="G82" s="14" t="s">
        <v>72</v>
      </c>
      <c r="H82" s="13" t="s">
        <v>17</v>
      </c>
      <c r="I82" s="13" t="s">
        <v>16</v>
      </c>
      <c r="J82" s="13" t="s">
        <v>73</v>
      </c>
      <c r="K82" s="14" t="s">
        <v>74</v>
      </c>
      <c r="L82" s="13" t="s">
        <v>47</v>
      </c>
      <c r="M82" s="13" t="s">
        <v>7</v>
      </c>
      <c r="N82" s="13" t="s">
        <v>48</v>
      </c>
    </row>
    <row r="83" spans="1:14" ht="26.1">
      <c r="A83" s="13" t="s">
        <v>308</v>
      </c>
      <c r="B83" s="13" t="s">
        <v>70</v>
      </c>
      <c r="C83" s="14" t="s">
        <v>309</v>
      </c>
      <c r="D83" s="13" t="s">
        <v>153</v>
      </c>
      <c r="E83" s="13" t="s">
        <v>56</v>
      </c>
      <c r="F83" s="13"/>
      <c r="G83" s="14" t="s">
        <v>72</v>
      </c>
      <c r="H83" s="13" t="s">
        <v>17</v>
      </c>
      <c r="I83" s="13" t="s">
        <v>16</v>
      </c>
      <c r="J83" s="13" t="s">
        <v>73</v>
      </c>
      <c r="K83" s="14" t="s">
        <v>74</v>
      </c>
      <c r="L83" s="13" t="s">
        <v>47</v>
      </c>
      <c r="M83" s="13" t="s">
        <v>7</v>
      </c>
      <c r="N83" s="13" t="s">
        <v>48</v>
      </c>
    </row>
    <row r="84" spans="1:14" ht="26.1">
      <c r="A84" s="13" t="s">
        <v>310</v>
      </c>
      <c r="B84" s="13" t="s">
        <v>70</v>
      </c>
      <c r="C84" s="14" t="s">
        <v>311</v>
      </c>
      <c r="D84" s="13" t="s">
        <v>153</v>
      </c>
      <c r="E84" s="13" t="s">
        <v>56</v>
      </c>
      <c r="F84" s="13"/>
      <c r="G84" s="14" t="s">
        <v>72</v>
      </c>
      <c r="H84" s="13" t="s">
        <v>17</v>
      </c>
      <c r="I84" s="13" t="s">
        <v>16</v>
      </c>
      <c r="J84" s="13" t="s">
        <v>73</v>
      </c>
      <c r="K84" s="14" t="s">
        <v>74</v>
      </c>
      <c r="L84" s="13" t="s">
        <v>47</v>
      </c>
      <c r="M84" s="13" t="s">
        <v>7</v>
      </c>
      <c r="N84" s="13" t="s">
        <v>48</v>
      </c>
    </row>
    <row r="85" spans="1:14" ht="26.1">
      <c r="A85" s="13" t="s">
        <v>312</v>
      </c>
      <c r="B85" s="13" t="s">
        <v>70</v>
      </c>
      <c r="C85" s="14" t="s">
        <v>313</v>
      </c>
      <c r="D85" s="13" t="s">
        <v>153</v>
      </c>
      <c r="E85" s="13" t="s">
        <v>56</v>
      </c>
      <c r="F85" s="13"/>
      <c r="G85" s="14" t="s">
        <v>72</v>
      </c>
      <c r="H85" s="13" t="s">
        <v>17</v>
      </c>
      <c r="I85" s="13" t="s">
        <v>16</v>
      </c>
      <c r="J85" s="13" t="s">
        <v>73</v>
      </c>
      <c r="K85" s="14" t="s">
        <v>74</v>
      </c>
      <c r="L85" s="13" t="s">
        <v>47</v>
      </c>
      <c r="M85" s="13" t="s">
        <v>7</v>
      </c>
      <c r="N85" s="13" t="s">
        <v>48</v>
      </c>
    </row>
    <row r="86" spans="1:14" ht="26.1">
      <c r="A86" s="13" t="s">
        <v>314</v>
      </c>
      <c r="B86" s="13" t="s">
        <v>70</v>
      </c>
      <c r="C86" s="14" t="s">
        <v>315</v>
      </c>
      <c r="D86" s="13" t="s">
        <v>42</v>
      </c>
      <c r="E86" s="13" t="s">
        <v>56</v>
      </c>
      <c r="F86" s="13"/>
      <c r="G86" s="14" t="s">
        <v>72</v>
      </c>
      <c r="H86" s="13" t="s">
        <v>17</v>
      </c>
      <c r="I86" s="13" t="s">
        <v>16</v>
      </c>
      <c r="J86" s="13" t="s">
        <v>73</v>
      </c>
      <c r="K86" s="14" t="s">
        <v>74</v>
      </c>
      <c r="L86" s="13" t="s">
        <v>47</v>
      </c>
      <c r="M86" s="13" t="s">
        <v>7</v>
      </c>
      <c r="N86" s="13" t="s">
        <v>48</v>
      </c>
    </row>
    <row r="87" spans="1:14">
      <c r="A87" s="13" t="s">
        <v>316</v>
      </c>
      <c r="B87" s="13" t="s">
        <v>40</v>
      </c>
      <c r="C87" s="14" t="s">
        <v>317</v>
      </c>
      <c r="D87" s="13" t="s">
        <v>42</v>
      </c>
      <c r="E87" s="13" t="s">
        <v>56</v>
      </c>
      <c r="F87" s="13"/>
      <c r="G87" s="14" t="s">
        <v>318</v>
      </c>
      <c r="H87" s="13" t="s">
        <v>13</v>
      </c>
      <c r="I87" s="13" t="s">
        <v>18</v>
      </c>
      <c r="J87" s="13" t="s">
        <v>270</v>
      </c>
      <c r="K87" s="14" t="s">
        <v>319</v>
      </c>
      <c r="L87" s="13" t="s">
        <v>47</v>
      </c>
      <c r="M87" s="13" t="s">
        <v>7</v>
      </c>
      <c r="N87" s="13" t="s">
        <v>48</v>
      </c>
    </row>
    <row r="88" spans="1:14">
      <c r="A88" s="13" t="s">
        <v>320</v>
      </c>
      <c r="B88" s="13" t="s">
        <v>191</v>
      </c>
      <c r="C88" s="14" t="s">
        <v>321</v>
      </c>
      <c r="D88" s="13" t="s">
        <v>42</v>
      </c>
      <c r="E88" s="13" t="s">
        <v>56</v>
      </c>
      <c r="F88" s="13"/>
      <c r="G88" s="14" t="s">
        <v>322</v>
      </c>
      <c r="H88" s="13" t="s">
        <v>17</v>
      </c>
      <c r="I88" s="13" t="s">
        <v>16</v>
      </c>
      <c r="J88" s="13" t="s">
        <v>323</v>
      </c>
      <c r="K88" s="14" t="s">
        <v>324</v>
      </c>
      <c r="L88" s="13" t="s">
        <v>47</v>
      </c>
      <c r="M88" s="13" t="s">
        <v>7</v>
      </c>
      <c r="N88" s="13" t="s">
        <v>48</v>
      </c>
    </row>
    <row r="89" spans="1:14" ht="26.1">
      <c r="A89" s="13" t="s">
        <v>325</v>
      </c>
      <c r="B89" s="13" t="s">
        <v>191</v>
      </c>
      <c r="C89" s="14" t="s">
        <v>326</v>
      </c>
      <c r="D89" s="13" t="s">
        <v>42</v>
      </c>
      <c r="E89" s="13" t="s">
        <v>56</v>
      </c>
      <c r="F89" s="13"/>
      <c r="G89" s="14" t="s">
        <v>322</v>
      </c>
      <c r="H89" s="13" t="s">
        <v>17</v>
      </c>
      <c r="I89" s="13" t="s">
        <v>16</v>
      </c>
      <c r="J89" s="13" t="s">
        <v>323</v>
      </c>
      <c r="K89" s="14" t="s">
        <v>324</v>
      </c>
      <c r="L89" s="13" t="s">
        <v>47</v>
      </c>
      <c r="M89" s="13" t="s">
        <v>7</v>
      </c>
      <c r="N89" s="13" t="s">
        <v>48</v>
      </c>
    </row>
    <row r="90" spans="1:14">
      <c r="A90" s="13" t="s">
        <v>327</v>
      </c>
      <c r="B90" s="13" t="s">
        <v>297</v>
      </c>
      <c r="C90" s="14" t="s">
        <v>328</v>
      </c>
      <c r="D90" s="13" t="s">
        <v>42</v>
      </c>
      <c r="E90" s="13" t="s">
        <v>56</v>
      </c>
      <c r="F90" s="13"/>
      <c r="G90" s="14" t="s">
        <v>329</v>
      </c>
      <c r="H90" s="13" t="s">
        <v>15</v>
      </c>
      <c r="I90" s="13" t="s">
        <v>16</v>
      </c>
      <c r="J90" s="13" t="s">
        <v>300</v>
      </c>
      <c r="K90" s="14" t="s">
        <v>330</v>
      </c>
      <c r="L90" s="13" t="s">
        <v>47</v>
      </c>
      <c r="M90" s="13" t="s">
        <v>7</v>
      </c>
      <c r="N90" s="13" t="s">
        <v>48</v>
      </c>
    </row>
    <row r="91" spans="1:14" ht="26.1">
      <c r="A91" s="13" t="s">
        <v>331</v>
      </c>
      <c r="B91" s="13" t="s">
        <v>297</v>
      </c>
      <c r="C91" s="14" t="s">
        <v>332</v>
      </c>
      <c r="D91" s="13" t="s">
        <v>42</v>
      </c>
      <c r="E91" s="13" t="s">
        <v>56</v>
      </c>
      <c r="F91" s="13"/>
      <c r="G91" s="14" t="s">
        <v>333</v>
      </c>
      <c r="H91" s="13" t="s">
        <v>15</v>
      </c>
      <c r="I91" s="13" t="s">
        <v>16</v>
      </c>
      <c r="J91" s="13" t="s">
        <v>300</v>
      </c>
      <c r="K91" s="14" t="s">
        <v>334</v>
      </c>
      <c r="L91" s="13" t="s">
        <v>47</v>
      </c>
      <c r="M91" s="13" t="s">
        <v>7</v>
      </c>
      <c r="N91" s="13" t="s">
        <v>48</v>
      </c>
    </row>
    <row r="92" spans="1:14" ht="26.1">
      <c r="A92" s="13" t="s">
        <v>335</v>
      </c>
      <c r="B92" s="13" t="s">
        <v>297</v>
      </c>
      <c r="C92" s="14" t="s">
        <v>336</v>
      </c>
      <c r="D92" s="13" t="s">
        <v>42</v>
      </c>
      <c r="E92" s="13" t="s">
        <v>56</v>
      </c>
      <c r="F92" s="13"/>
      <c r="G92" s="14" t="s">
        <v>337</v>
      </c>
      <c r="H92" s="13" t="s">
        <v>15</v>
      </c>
      <c r="I92" s="13" t="s">
        <v>18</v>
      </c>
      <c r="J92" s="13" t="s">
        <v>300</v>
      </c>
      <c r="K92" s="14" t="s">
        <v>338</v>
      </c>
      <c r="L92" s="13" t="s">
        <v>47</v>
      </c>
      <c r="M92" s="13" t="s">
        <v>7</v>
      </c>
      <c r="N92" s="13" t="s">
        <v>48</v>
      </c>
    </row>
    <row r="93" spans="1:14" ht="26.1">
      <c r="A93" s="13" t="s">
        <v>339</v>
      </c>
      <c r="B93" s="13" t="s">
        <v>297</v>
      </c>
      <c r="C93" s="14" t="s">
        <v>340</v>
      </c>
      <c r="D93" s="13" t="s">
        <v>341</v>
      </c>
      <c r="E93" s="13" t="s">
        <v>56</v>
      </c>
      <c r="F93" s="13"/>
      <c r="G93" s="14" t="s">
        <v>342</v>
      </c>
      <c r="H93" s="13" t="s">
        <v>15</v>
      </c>
      <c r="I93" s="13" t="s">
        <v>16</v>
      </c>
      <c r="J93" s="13" t="s">
        <v>300</v>
      </c>
      <c r="K93" s="14" t="s">
        <v>343</v>
      </c>
      <c r="L93" s="13" t="s">
        <v>47</v>
      </c>
      <c r="M93" s="13" t="s">
        <v>7</v>
      </c>
      <c r="N93" s="13" t="s">
        <v>48</v>
      </c>
    </row>
    <row r="94" spans="1:14" ht="26.1">
      <c r="A94" s="13" t="s">
        <v>344</v>
      </c>
      <c r="B94" s="13" t="s">
        <v>125</v>
      </c>
      <c r="C94" s="14" t="s">
        <v>345</v>
      </c>
      <c r="D94" s="13" t="s">
        <v>42</v>
      </c>
      <c r="E94" s="13" t="s">
        <v>56</v>
      </c>
      <c r="F94" s="13"/>
      <c r="G94" s="14" t="s">
        <v>128</v>
      </c>
      <c r="H94" s="13" t="s">
        <v>19</v>
      </c>
      <c r="I94" s="13" t="s">
        <v>14</v>
      </c>
      <c r="J94" s="13" t="s">
        <v>129</v>
      </c>
      <c r="K94" s="14" t="s">
        <v>130</v>
      </c>
      <c r="L94" s="13" t="s">
        <v>47</v>
      </c>
      <c r="M94" s="13" t="s">
        <v>7</v>
      </c>
      <c r="N94" s="13" t="s">
        <v>48</v>
      </c>
    </row>
    <row r="95" spans="1:14" ht="26.1">
      <c r="A95" s="13" t="s">
        <v>346</v>
      </c>
      <c r="B95" s="13" t="s">
        <v>125</v>
      </c>
      <c r="C95" s="14" t="s">
        <v>347</v>
      </c>
      <c r="D95" s="13" t="s">
        <v>42</v>
      </c>
      <c r="E95" s="13" t="s">
        <v>56</v>
      </c>
      <c r="F95" s="13"/>
      <c r="G95" s="14" t="s">
        <v>128</v>
      </c>
      <c r="H95" s="13" t="s">
        <v>19</v>
      </c>
      <c r="I95" s="13" t="s">
        <v>14</v>
      </c>
      <c r="J95" s="13" t="s">
        <v>129</v>
      </c>
      <c r="K95" s="14" t="s">
        <v>130</v>
      </c>
      <c r="L95" s="13" t="s">
        <v>47</v>
      </c>
      <c r="M95" s="13" t="s">
        <v>7</v>
      </c>
      <c r="N95" s="13" t="s">
        <v>48</v>
      </c>
    </row>
    <row r="96" spans="1:14">
      <c r="A96" s="13" t="s">
        <v>348</v>
      </c>
      <c r="B96" s="13" t="s">
        <v>40</v>
      </c>
      <c r="C96" s="14" t="s">
        <v>349</v>
      </c>
      <c r="D96" s="13" t="s">
        <v>42</v>
      </c>
      <c r="E96" s="13" t="s">
        <v>56</v>
      </c>
      <c r="F96" s="13"/>
      <c r="G96" s="14" t="s">
        <v>99</v>
      </c>
      <c r="H96" s="13" t="s">
        <v>20</v>
      </c>
      <c r="I96" s="13" t="s">
        <v>16</v>
      </c>
      <c r="J96" s="13" t="s">
        <v>94</v>
      </c>
      <c r="K96" s="14" t="s">
        <v>100</v>
      </c>
      <c r="L96" s="13" t="s">
        <v>101</v>
      </c>
      <c r="M96" s="13" t="s">
        <v>7</v>
      </c>
      <c r="N96" s="13" t="s">
        <v>48</v>
      </c>
    </row>
    <row r="97" spans="1:14" ht="26.1">
      <c r="A97" s="13" t="s">
        <v>350</v>
      </c>
      <c r="B97" s="13" t="s">
        <v>191</v>
      </c>
      <c r="C97" s="14" t="s">
        <v>351</v>
      </c>
      <c r="D97" s="13" t="s">
        <v>42</v>
      </c>
      <c r="E97" s="13" t="s">
        <v>56</v>
      </c>
      <c r="F97" s="13"/>
      <c r="G97" s="14" t="s">
        <v>193</v>
      </c>
      <c r="H97" s="13" t="s">
        <v>19</v>
      </c>
      <c r="I97" s="13" t="s">
        <v>14</v>
      </c>
      <c r="J97" s="13" t="s">
        <v>194</v>
      </c>
      <c r="K97" s="14" t="s">
        <v>195</v>
      </c>
      <c r="L97" s="13" t="s">
        <v>47</v>
      </c>
      <c r="M97" s="13" t="s">
        <v>7</v>
      </c>
      <c r="N97" s="13" t="s">
        <v>48</v>
      </c>
    </row>
    <row r="98" spans="1:14">
      <c r="A98" s="13" t="s">
        <v>352</v>
      </c>
      <c r="B98" s="13" t="s">
        <v>191</v>
      </c>
      <c r="C98" s="14" t="s">
        <v>353</v>
      </c>
      <c r="D98" s="13" t="s">
        <v>42</v>
      </c>
      <c r="E98" s="13" t="s">
        <v>56</v>
      </c>
      <c r="F98" s="13"/>
      <c r="G98" s="14" t="s">
        <v>322</v>
      </c>
      <c r="H98" s="13" t="s">
        <v>17</v>
      </c>
      <c r="I98" s="13" t="s">
        <v>16</v>
      </c>
      <c r="J98" s="13" t="s">
        <v>323</v>
      </c>
      <c r="K98" s="14" t="s">
        <v>324</v>
      </c>
      <c r="L98" s="13" t="s">
        <v>47</v>
      </c>
      <c r="M98" s="13" t="s">
        <v>7</v>
      </c>
      <c r="N98" s="13" t="s">
        <v>48</v>
      </c>
    </row>
    <row r="99" spans="1:14" ht="26.1">
      <c r="A99" s="13" t="s">
        <v>354</v>
      </c>
      <c r="B99" s="13" t="s">
        <v>297</v>
      </c>
      <c r="C99" s="14" t="s">
        <v>355</v>
      </c>
      <c r="D99" s="13" t="s">
        <v>42</v>
      </c>
      <c r="E99" s="13" t="s">
        <v>56</v>
      </c>
      <c r="F99" s="13"/>
      <c r="G99" s="14" t="s">
        <v>356</v>
      </c>
      <c r="H99" s="13" t="s">
        <v>15</v>
      </c>
      <c r="I99" s="13" t="s">
        <v>14</v>
      </c>
      <c r="J99" s="13" t="s">
        <v>300</v>
      </c>
      <c r="K99" s="14" t="s">
        <v>357</v>
      </c>
      <c r="L99" s="13" t="s">
        <v>47</v>
      </c>
      <c r="M99" s="13" t="s">
        <v>7</v>
      </c>
      <c r="N99" s="13" t="s">
        <v>48</v>
      </c>
    </row>
    <row r="100" spans="1:14" ht="26.1">
      <c r="A100" s="13" t="s">
        <v>358</v>
      </c>
      <c r="B100" s="13" t="s">
        <v>70</v>
      </c>
      <c r="C100" s="14" t="s">
        <v>359</v>
      </c>
      <c r="D100" s="13" t="s">
        <v>42</v>
      </c>
      <c r="E100" s="13" t="s">
        <v>56</v>
      </c>
      <c r="F100" s="13"/>
      <c r="G100" s="14" t="s">
        <v>72</v>
      </c>
      <c r="H100" s="13" t="s">
        <v>17</v>
      </c>
      <c r="I100" s="13" t="s">
        <v>16</v>
      </c>
      <c r="J100" s="13" t="s">
        <v>73</v>
      </c>
      <c r="K100" s="14" t="s">
        <v>74</v>
      </c>
      <c r="L100" s="13" t="s">
        <v>47</v>
      </c>
      <c r="M100" s="13" t="s">
        <v>7</v>
      </c>
      <c r="N100" s="13" t="s">
        <v>48</v>
      </c>
    </row>
    <row r="101" spans="1:14" ht="26.1">
      <c r="A101" s="13" t="s">
        <v>360</v>
      </c>
      <c r="B101" s="13" t="s">
        <v>125</v>
      </c>
      <c r="C101" s="14" t="s">
        <v>361</v>
      </c>
      <c r="D101" s="13" t="s">
        <v>42</v>
      </c>
      <c r="E101" s="13" t="s">
        <v>56</v>
      </c>
      <c r="F101" s="13"/>
      <c r="G101" s="14" t="s">
        <v>128</v>
      </c>
      <c r="H101" s="13" t="s">
        <v>19</v>
      </c>
      <c r="I101" s="13" t="s">
        <v>14</v>
      </c>
      <c r="J101" s="13" t="s">
        <v>129</v>
      </c>
      <c r="K101" s="14" t="s">
        <v>130</v>
      </c>
      <c r="L101" s="13" t="s">
        <v>47</v>
      </c>
      <c r="M101" s="13" t="s">
        <v>7</v>
      </c>
      <c r="N101" s="13" t="s">
        <v>48</v>
      </c>
    </row>
    <row r="102" spans="1:14" ht="26.1">
      <c r="A102" s="13" t="s">
        <v>362</v>
      </c>
      <c r="B102" s="13" t="s">
        <v>125</v>
      </c>
      <c r="C102" s="14" t="s">
        <v>363</v>
      </c>
      <c r="D102" s="13" t="s">
        <v>42</v>
      </c>
      <c r="E102" s="13" t="s">
        <v>56</v>
      </c>
      <c r="F102" s="13"/>
      <c r="G102" s="14" t="s">
        <v>128</v>
      </c>
      <c r="H102" s="13" t="s">
        <v>19</v>
      </c>
      <c r="I102" s="13" t="s">
        <v>14</v>
      </c>
      <c r="J102" s="13" t="s">
        <v>129</v>
      </c>
      <c r="K102" s="14" t="s">
        <v>130</v>
      </c>
      <c r="L102" s="13" t="s">
        <v>47</v>
      </c>
      <c r="M102" s="13" t="s">
        <v>7</v>
      </c>
      <c r="N102" s="13" t="s">
        <v>48</v>
      </c>
    </row>
    <row r="103" spans="1:14" ht="26.1">
      <c r="A103" s="13" t="s">
        <v>364</v>
      </c>
      <c r="B103" s="13" t="s">
        <v>70</v>
      </c>
      <c r="C103" s="14" t="s">
        <v>365</v>
      </c>
      <c r="D103" s="13" t="s">
        <v>42</v>
      </c>
      <c r="E103" s="13" t="s">
        <v>56</v>
      </c>
      <c r="F103" s="13"/>
      <c r="G103" s="14" t="s">
        <v>72</v>
      </c>
      <c r="H103" s="13" t="s">
        <v>17</v>
      </c>
      <c r="I103" s="13" t="s">
        <v>16</v>
      </c>
      <c r="J103" s="13" t="s">
        <v>73</v>
      </c>
      <c r="K103" s="14" t="s">
        <v>74</v>
      </c>
      <c r="L103" s="13" t="s">
        <v>47</v>
      </c>
      <c r="M103" s="13" t="s">
        <v>7</v>
      </c>
      <c r="N103" s="13" t="s">
        <v>48</v>
      </c>
    </row>
    <row r="104" spans="1:14" ht="26.1">
      <c r="A104" s="13" t="s">
        <v>366</v>
      </c>
      <c r="B104" s="13" t="s">
        <v>297</v>
      </c>
      <c r="C104" s="14" t="s">
        <v>367</v>
      </c>
      <c r="D104" s="13" t="s">
        <v>42</v>
      </c>
      <c r="E104" s="13" t="s">
        <v>56</v>
      </c>
      <c r="F104" s="13"/>
      <c r="G104" s="14" t="s">
        <v>368</v>
      </c>
      <c r="H104" s="13" t="s">
        <v>17</v>
      </c>
      <c r="I104" s="13" t="s">
        <v>16</v>
      </c>
      <c r="J104" s="13" t="s">
        <v>300</v>
      </c>
      <c r="K104" s="14" t="s">
        <v>369</v>
      </c>
      <c r="L104" s="13" t="s">
        <v>47</v>
      </c>
      <c r="M104" s="13" t="s">
        <v>7</v>
      </c>
      <c r="N104" s="13" t="s">
        <v>48</v>
      </c>
    </row>
    <row r="105" spans="1:14" ht="26.1">
      <c r="A105" s="13" t="s">
        <v>370</v>
      </c>
      <c r="B105" s="13" t="s">
        <v>50</v>
      </c>
      <c r="C105" s="14" t="s">
        <v>371</v>
      </c>
      <c r="D105" s="13" t="s">
        <v>42</v>
      </c>
      <c r="E105" s="13" t="s">
        <v>56</v>
      </c>
      <c r="F105" s="13"/>
      <c r="G105" s="14" t="s">
        <v>44</v>
      </c>
      <c r="H105" s="13" t="s">
        <v>15</v>
      </c>
      <c r="I105" s="13" t="s">
        <v>16</v>
      </c>
      <c r="J105" s="13" t="s">
        <v>45</v>
      </c>
      <c r="K105" s="14" t="s">
        <v>372</v>
      </c>
      <c r="L105" s="13" t="s">
        <v>47</v>
      </c>
      <c r="M105" s="13" t="s">
        <v>7</v>
      </c>
      <c r="N105" s="13" t="s">
        <v>48</v>
      </c>
    </row>
    <row r="106" spans="1:14">
      <c r="A106" s="13" t="s">
        <v>373</v>
      </c>
      <c r="B106" s="13" t="s">
        <v>40</v>
      </c>
      <c r="C106" s="14" t="s">
        <v>374</v>
      </c>
      <c r="D106" s="13" t="s">
        <v>42</v>
      </c>
      <c r="E106" s="13" t="s">
        <v>56</v>
      </c>
      <c r="F106" s="13"/>
      <c r="G106" s="14" t="s">
        <v>108</v>
      </c>
      <c r="H106" s="13" t="s">
        <v>15</v>
      </c>
      <c r="I106" s="13" t="s">
        <v>16</v>
      </c>
      <c r="J106" s="13" t="s">
        <v>109</v>
      </c>
      <c r="K106" s="14" t="s">
        <v>110</v>
      </c>
      <c r="L106" s="13" t="s">
        <v>47</v>
      </c>
      <c r="M106" s="13" t="s">
        <v>7</v>
      </c>
      <c r="N106" s="13" t="s">
        <v>48</v>
      </c>
    </row>
    <row r="107" spans="1:14" ht="26.1">
      <c r="A107" s="13" t="s">
        <v>375</v>
      </c>
      <c r="B107" s="13" t="s">
        <v>70</v>
      </c>
      <c r="C107" s="14" t="s">
        <v>376</v>
      </c>
      <c r="D107" s="13" t="s">
        <v>42</v>
      </c>
      <c r="E107" s="13" t="s">
        <v>56</v>
      </c>
      <c r="F107" s="13"/>
      <c r="G107" s="14" t="s">
        <v>72</v>
      </c>
      <c r="H107" s="13" t="s">
        <v>17</v>
      </c>
      <c r="I107" s="13" t="s">
        <v>16</v>
      </c>
      <c r="J107" s="13" t="s">
        <v>73</v>
      </c>
      <c r="K107" s="14" t="s">
        <v>74</v>
      </c>
      <c r="L107" s="13" t="s">
        <v>47</v>
      </c>
      <c r="M107" s="13" t="s">
        <v>7</v>
      </c>
      <c r="N107" s="13" t="s">
        <v>48</v>
      </c>
    </row>
    <row r="108" spans="1:14" ht="26.1">
      <c r="A108" s="13" t="s">
        <v>377</v>
      </c>
      <c r="B108" s="13" t="s">
        <v>125</v>
      </c>
      <c r="C108" s="14" t="s">
        <v>378</v>
      </c>
      <c r="D108" s="13" t="s">
        <v>42</v>
      </c>
      <c r="E108" s="13" t="s">
        <v>56</v>
      </c>
      <c r="F108" s="13"/>
      <c r="G108" s="14" t="s">
        <v>128</v>
      </c>
      <c r="H108" s="13" t="s">
        <v>19</v>
      </c>
      <c r="I108" s="13" t="s">
        <v>14</v>
      </c>
      <c r="J108" s="13" t="s">
        <v>129</v>
      </c>
      <c r="K108" s="14" t="s">
        <v>130</v>
      </c>
      <c r="L108" s="13" t="s">
        <v>47</v>
      </c>
      <c r="M108" s="13" t="s">
        <v>7</v>
      </c>
      <c r="N108" s="13" t="s">
        <v>48</v>
      </c>
    </row>
    <row r="109" spans="1:14" ht="26.1">
      <c r="A109" s="13" t="s">
        <v>379</v>
      </c>
      <c r="B109" s="13" t="s">
        <v>125</v>
      </c>
      <c r="C109" s="14" t="s">
        <v>380</v>
      </c>
      <c r="D109" s="13" t="s">
        <v>42</v>
      </c>
      <c r="E109" s="13" t="s">
        <v>56</v>
      </c>
      <c r="F109" s="13"/>
      <c r="G109" s="14" t="s">
        <v>128</v>
      </c>
      <c r="H109" s="13" t="s">
        <v>19</v>
      </c>
      <c r="I109" s="13" t="s">
        <v>14</v>
      </c>
      <c r="J109" s="13" t="s">
        <v>129</v>
      </c>
      <c r="K109" s="14" t="s">
        <v>130</v>
      </c>
      <c r="L109" s="13" t="s">
        <v>47</v>
      </c>
      <c r="M109" s="13" t="s">
        <v>7</v>
      </c>
      <c r="N109" s="13" t="s">
        <v>48</v>
      </c>
    </row>
    <row r="110" spans="1:14" ht="26.1">
      <c r="A110" s="13" t="s">
        <v>381</v>
      </c>
      <c r="B110" s="13" t="s">
        <v>70</v>
      </c>
      <c r="C110" s="14" t="s">
        <v>382</v>
      </c>
      <c r="D110" s="13" t="s">
        <v>42</v>
      </c>
      <c r="E110" s="13" t="s">
        <v>56</v>
      </c>
      <c r="F110" s="13"/>
      <c r="G110" s="14" t="s">
        <v>72</v>
      </c>
      <c r="H110" s="13" t="s">
        <v>17</v>
      </c>
      <c r="I110" s="13" t="s">
        <v>16</v>
      </c>
      <c r="J110" s="13" t="s">
        <v>73</v>
      </c>
      <c r="K110" s="14" t="s">
        <v>74</v>
      </c>
      <c r="L110" s="13" t="s">
        <v>47</v>
      </c>
      <c r="M110" s="13" t="s">
        <v>7</v>
      </c>
      <c r="N110" s="13" t="s">
        <v>48</v>
      </c>
    </row>
    <row r="111" spans="1:14" ht="26.1">
      <c r="A111" s="13" t="s">
        <v>383</v>
      </c>
      <c r="B111" s="13" t="s">
        <v>70</v>
      </c>
      <c r="C111" s="14" t="s">
        <v>384</v>
      </c>
      <c r="D111" s="13" t="s">
        <v>42</v>
      </c>
      <c r="E111" s="13" t="s">
        <v>56</v>
      </c>
      <c r="F111" s="13"/>
      <c r="G111" s="14" t="s">
        <v>72</v>
      </c>
      <c r="H111" s="13" t="s">
        <v>17</v>
      </c>
      <c r="I111" s="13" t="s">
        <v>16</v>
      </c>
      <c r="J111" s="13" t="s">
        <v>73</v>
      </c>
      <c r="K111" s="14" t="s">
        <v>74</v>
      </c>
      <c r="L111" s="13" t="s">
        <v>47</v>
      </c>
      <c r="M111" s="13" t="s">
        <v>7</v>
      </c>
      <c r="N111" s="13" t="s">
        <v>48</v>
      </c>
    </row>
    <row r="112" spans="1:14">
      <c r="A112" s="13" t="s">
        <v>385</v>
      </c>
      <c r="B112" s="13" t="s">
        <v>191</v>
      </c>
      <c r="C112" s="14" t="s">
        <v>386</v>
      </c>
      <c r="D112" s="13" t="s">
        <v>42</v>
      </c>
      <c r="E112" s="13" t="s">
        <v>56</v>
      </c>
      <c r="F112" s="13"/>
      <c r="G112" s="14" t="s">
        <v>322</v>
      </c>
      <c r="H112" s="13" t="s">
        <v>17</v>
      </c>
      <c r="I112" s="13" t="s">
        <v>16</v>
      </c>
      <c r="J112" s="13" t="s">
        <v>323</v>
      </c>
      <c r="K112" s="14" t="s">
        <v>324</v>
      </c>
      <c r="L112" s="13" t="s">
        <v>47</v>
      </c>
      <c r="M112" s="13" t="s">
        <v>7</v>
      </c>
      <c r="N112" s="13" t="s">
        <v>48</v>
      </c>
    </row>
    <row r="113" spans="1:14">
      <c r="A113" s="13" t="s">
        <v>387</v>
      </c>
      <c r="B113" s="13" t="s">
        <v>191</v>
      </c>
      <c r="C113" s="14" t="s">
        <v>388</v>
      </c>
      <c r="D113" s="13" t="s">
        <v>42</v>
      </c>
      <c r="E113" s="13" t="s">
        <v>56</v>
      </c>
      <c r="F113" s="13"/>
      <c r="G113" s="14" t="s">
        <v>322</v>
      </c>
      <c r="H113" s="13" t="s">
        <v>17</v>
      </c>
      <c r="I113" s="13" t="s">
        <v>16</v>
      </c>
      <c r="J113" s="13" t="s">
        <v>323</v>
      </c>
      <c r="K113" s="14" t="s">
        <v>324</v>
      </c>
      <c r="L113" s="13" t="s">
        <v>47</v>
      </c>
      <c r="M113" s="13" t="s">
        <v>7</v>
      </c>
      <c r="N113" s="13" t="s">
        <v>48</v>
      </c>
    </row>
    <row r="114" spans="1:14" ht="26.1">
      <c r="A114" s="13" t="s">
        <v>389</v>
      </c>
      <c r="B114" s="13" t="s">
        <v>70</v>
      </c>
      <c r="C114" s="14" t="s">
        <v>390</v>
      </c>
      <c r="D114" s="13" t="s">
        <v>42</v>
      </c>
      <c r="E114" s="13" t="s">
        <v>56</v>
      </c>
      <c r="F114" s="13"/>
      <c r="G114" s="14" t="s">
        <v>72</v>
      </c>
      <c r="H114" s="13" t="s">
        <v>17</v>
      </c>
      <c r="I114" s="13" t="s">
        <v>16</v>
      </c>
      <c r="J114" s="13" t="s">
        <v>73</v>
      </c>
      <c r="K114" s="14" t="s">
        <v>74</v>
      </c>
      <c r="L114" s="13" t="s">
        <v>47</v>
      </c>
      <c r="M114" s="13" t="s">
        <v>7</v>
      </c>
      <c r="N114" s="13" t="s">
        <v>48</v>
      </c>
    </row>
    <row r="115" spans="1:14" ht="26.1">
      <c r="A115" s="13" t="s">
        <v>391</v>
      </c>
      <c r="B115" s="13" t="s">
        <v>70</v>
      </c>
      <c r="C115" s="14" t="s">
        <v>392</v>
      </c>
      <c r="D115" s="13" t="s">
        <v>42</v>
      </c>
      <c r="E115" s="13" t="s">
        <v>56</v>
      </c>
      <c r="F115" s="13"/>
      <c r="G115" s="14" t="s">
        <v>72</v>
      </c>
      <c r="H115" s="13" t="s">
        <v>17</v>
      </c>
      <c r="I115" s="13" t="s">
        <v>16</v>
      </c>
      <c r="J115" s="13" t="s">
        <v>73</v>
      </c>
      <c r="K115" s="14" t="s">
        <v>74</v>
      </c>
      <c r="L115" s="13" t="s">
        <v>47</v>
      </c>
      <c r="M115" s="13" t="s">
        <v>7</v>
      </c>
      <c r="N115" s="13" t="s">
        <v>48</v>
      </c>
    </row>
    <row r="116" spans="1:14" ht="26.1">
      <c r="A116" s="13" t="s">
        <v>393</v>
      </c>
      <c r="B116" s="13" t="s">
        <v>70</v>
      </c>
      <c r="C116" s="14" t="s">
        <v>394</v>
      </c>
      <c r="D116" s="13" t="s">
        <v>42</v>
      </c>
      <c r="E116" s="13" t="s">
        <v>56</v>
      </c>
      <c r="F116" s="13"/>
      <c r="G116" s="14" t="s">
        <v>193</v>
      </c>
      <c r="H116" s="13" t="s">
        <v>19</v>
      </c>
      <c r="I116" s="13" t="s">
        <v>14</v>
      </c>
      <c r="J116" s="13" t="s">
        <v>194</v>
      </c>
      <c r="K116" s="14" t="s">
        <v>195</v>
      </c>
      <c r="L116" s="13" t="s">
        <v>47</v>
      </c>
      <c r="M116" s="13" t="s">
        <v>7</v>
      </c>
      <c r="N116" s="13" t="s">
        <v>48</v>
      </c>
    </row>
    <row r="117" spans="1:14" ht="26.1">
      <c r="A117" s="13" t="s">
        <v>395</v>
      </c>
      <c r="B117" s="13" t="s">
        <v>60</v>
      </c>
      <c r="C117" s="14" t="s">
        <v>396</v>
      </c>
      <c r="D117" s="13" t="s">
        <v>42</v>
      </c>
      <c r="E117" s="13" t="s">
        <v>56</v>
      </c>
      <c r="F117" s="13"/>
      <c r="G117" s="14" t="s">
        <v>397</v>
      </c>
      <c r="H117" s="13" t="s">
        <v>15</v>
      </c>
      <c r="I117" s="13" t="s">
        <v>16</v>
      </c>
      <c r="J117" s="13" t="s">
        <v>67</v>
      </c>
      <c r="K117" s="14" t="s">
        <v>398</v>
      </c>
      <c r="L117" s="13" t="s">
        <v>47</v>
      </c>
      <c r="M117" s="13" t="s">
        <v>7</v>
      </c>
      <c r="N117" s="13" t="s">
        <v>48</v>
      </c>
    </row>
    <row r="118" spans="1:14">
      <c r="A118" s="13" t="s">
        <v>399</v>
      </c>
      <c r="B118" s="13" t="s">
        <v>60</v>
      </c>
      <c r="C118" s="14" t="s">
        <v>400</v>
      </c>
      <c r="D118" s="13" t="s">
        <v>42</v>
      </c>
      <c r="E118" s="13" t="s">
        <v>56</v>
      </c>
      <c r="F118" s="13"/>
      <c r="G118" s="14" t="s">
        <v>401</v>
      </c>
      <c r="H118" s="13" t="s">
        <v>15</v>
      </c>
      <c r="I118" s="13" t="s">
        <v>14</v>
      </c>
      <c r="J118" s="13" t="s">
        <v>67</v>
      </c>
      <c r="K118" s="14" t="s">
        <v>402</v>
      </c>
      <c r="L118" s="13" t="s">
        <v>47</v>
      </c>
      <c r="M118" s="13" t="s">
        <v>7</v>
      </c>
      <c r="N118" s="13" t="s">
        <v>48</v>
      </c>
    </row>
    <row r="119" spans="1:14">
      <c r="A119" s="13" t="s">
        <v>403</v>
      </c>
      <c r="B119" s="13" t="s">
        <v>297</v>
      </c>
      <c r="C119" s="14" t="s">
        <v>404</v>
      </c>
      <c r="D119" s="13" t="s">
        <v>42</v>
      </c>
      <c r="E119" s="13" t="s">
        <v>56</v>
      </c>
      <c r="F119" s="13"/>
      <c r="G119" s="14" t="s">
        <v>405</v>
      </c>
      <c r="H119" s="13" t="s">
        <v>15</v>
      </c>
      <c r="I119" s="13" t="s">
        <v>16</v>
      </c>
      <c r="J119" s="13" t="s">
        <v>300</v>
      </c>
      <c r="K119" s="14" t="s">
        <v>406</v>
      </c>
      <c r="L119" s="13" t="s">
        <v>47</v>
      </c>
      <c r="M119" s="13" t="s">
        <v>7</v>
      </c>
      <c r="N119" s="13" t="s">
        <v>48</v>
      </c>
    </row>
    <row r="120" spans="1:14" ht="26.1">
      <c r="A120" s="13" t="s">
        <v>407</v>
      </c>
      <c r="B120" s="13" t="s">
        <v>297</v>
      </c>
      <c r="C120" s="14" t="s">
        <v>408</v>
      </c>
      <c r="D120" s="13" t="s">
        <v>42</v>
      </c>
      <c r="E120" s="13" t="s">
        <v>56</v>
      </c>
      <c r="F120" s="13"/>
      <c r="G120" s="14" t="s">
        <v>368</v>
      </c>
      <c r="H120" s="13" t="s">
        <v>17</v>
      </c>
      <c r="I120" s="13" t="s">
        <v>16</v>
      </c>
      <c r="J120" s="13" t="s">
        <v>300</v>
      </c>
      <c r="K120" s="14" t="s">
        <v>369</v>
      </c>
      <c r="L120" s="13" t="s">
        <v>47</v>
      </c>
      <c r="M120" s="13" t="s">
        <v>7</v>
      </c>
      <c r="N120" s="13" t="s">
        <v>48</v>
      </c>
    </row>
    <row r="121" spans="1:14" ht="26.1">
      <c r="A121" s="13" t="s">
        <v>409</v>
      </c>
      <c r="B121" s="13" t="s">
        <v>60</v>
      </c>
      <c r="C121" s="14" t="s">
        <v>410</v>
      </c>
      <c r="D121" s="13" t="s">
        <v>42</v>
      </c>
      <c r="E121" s="13" t="s">
        <v>56</v>
      </c>
      <c r="F121" s="13"/>
      <c r="G121" s="14" t="s">
        <v>210</v>
      </c>
      <c r="H121" s="13" t="s">
        <v>15</v>
      </c>
      <c r="I121" s="13" t="s">
        <v>16</v>
      </c>
      <c r="J121" s="13" t="s">
        <v>211</v>
      </c>
      <c r="K121" s="14" t="s">
        <v>212</v>
      </c>
      <c r="L121" s="13" t="s">
        <v>47</v>
      </c>
      <c r="M121" s="13" t="s">
        <v>7</v>
      </c>
      <c r="N121" s="13" t="s">
        <v>48</v>
      </c>
    </row>
    <row r="122" spans="1:14">
      <c r="A122" s="13" t="s">
        <v>411</v>
      </c>
      <c r="B122" s="13" t="s">
        <v>76</v>
      </c>
      <c r="C122" s="14" t="s">
        <v>412</v>
      </c>
      <c r="D122" s="13" t="s">
        <v>42</v>
      </c>
      <c r="E122" s="13" t="s">
        <v>56</v>
      </c>
      <c r="F122" s="13"/>
      <c r="G122" s="14" t="s">
        <v>99</v>
      </c>
      <c r="H122" s="13" t="s">
        <v>20</v>
      </c>
      <c r="I122" s="13" t="s">
        <v>16</v>
      </c>
      <c r="J122" s="13" t="s">
        <v>94</v>
      </c>
      <c r="K122" s="14" t="s">
        <v>100</v>
      </c>
      <c r="L122" s="13" t="s">
        <v>101</v>
      </c>
      <c r="M122" s="13" t="s">
        <v>7</v>
      </c>
      <c r="N122" s="13" t="s">
        <v>48</v>
      </c>
    </row>
    <row r="123" spans="1:14">
      <c r="A123" s="13" t="s">
        <v>413</v>
      </c>
      <c r="B123" s="13" t="s">
        <v>191</v>
      </c>
      <c r="C123" s="14" t="s">
        <v>414</v>
      </c>
      <c r="D123" s="13" t="s">
        <v>42</v>
      </c>
      <c r="E123" s="13" t="s">
        <v>56</v>
      </c>
      <c r="F123" s="13"/>
      <c r="G123" s="14" t="s">
        <v>322</v>
      </c>
      <c r="H123" s="13" t="s">
        <v>17</v>
      </c>
      <c r="I123" s="13" t="s">
        <v>16</v>
      </c>
      <c r="J123" s="13" t="s">
        <v>323</v>
      </c>
      <c r="K123" s="14" t="s">
        <v>324</v>
      </c>
      <c r="L123" s="13" t="s">
        <v>47</v>
      </c>
      <c r="M123" s="13" t="s">
        <v>7</v>
      </c>
      <c r="N123" s="13" t="s">
        <v>48</v>
      </c>
    </row>
    <row r="124" spans="1:14">
      <c r="A124" s="13" t="s">
        <v>415</v>
      </c>
      <c r="B124" s="13" t="s">
        <v>40</v>
      </c>
      <c r="C124" s="14" t="s">
        <v>416</v>
      </c>
      <c r="D124" s="13" t="s">
        <v>42</v>
      </c>
      <c r="E124" s="13" t="s">
        <v>56</v>
      </c>
      <c r="F124" s="13"/>
      <c r="G124" s="14" t="s">
        <v>108</v>
      </c>
      <c r="H124" s="13" t="s">
        <v>15</v>
      </c>
      <c r="I124" s="13" t="s">
        <v>16</v>
      </c>
      <c r="J124" s="13" t="s">
        <v>109</v>
      </c>
      <c r="K124" s="14" t="s">
        <v>110</v>
      </c>
      <c r="L124" s="13" t="s">
        <v>47</v>
      </c>
      <c r="M124" s="13" t="s">
        <v>7</v>
      </c>
      <c r="N124" s="13" t="s">
        <v>48</v>
      </c>
    </row>
    <row r="125" spans="1:14" ht="26.1">
      <c r="A125" s="13" t="s">
        <v>417</v>
      </c>
      <c r="B125" s="13" t="s">
        <v>70</v>
      </c>
      <c r="C125" s="14" t="s">
        <v>418</v>
      </c>
      <c r="D125" s="13" t="s">
        <v>42</v>
      </c>
      <c r="E125" s="13" t="s">
        <v>56</v>
      </c>
      <c r="F125" s="13"/>
      <c r="G125" s="14" t="s">
        <v>72</v>
      </c>
      <c r="H125" s="13" t="s">
        <v>17</v>
      </c>
      <c r="I125" s="13" t="s">
        <v>16</v>
      </c>
      <c r="J125" s="13" t="s">
        <v>73</v>
      </c>
      <c r="K125" s="14" t="s">
        <v>74</v>
      </c>
      <c r="L125" s="13" t="s">
        <v>47</v>
      </c>
      <c r="M125" s="13" t="s">
        <v>7</v>
      </c>
      <c r="N125" s="13" t="s">
        <v>48</v>
      </c>
    </row>
    <row r="126" spans="1:14" ht="26.1">
      <c r="A126" s="13" t="s">
        <v>419</v>
      </c>
      <c r="B126" s="13" t="s">
        <v>70</v>
      </c>
      <c r="C126" s="14" t="s">
        <v>420</v>
      </c>
      <c r="D126" s="13" t="s">
        <v>42</v>
      </c>
      <c r="E126" s="13" t="s">
        <v>56</v>
      </c>
      <c r="F126" s="13"/>
      <c r="G126" s="14" t="s">
        <v>72</v>
      </c>
      <c r="H126" s="13" t="s">
        <v>17</v>
      </c>
      <c r="I126" s="13" t="s">
        <v>16</v>
      </c>
      <c r="J126" s="13" t="s">
        <v>73</v>
      </c>
      <c r="K126" s="14" t="s">
        <v>74</v>
      </c>
      <c r="L126" s="13" t="s">
        <v>47</v>
      </c>
      <c r="M126" s="13" t="s">
        <v>7</v>
      </c>
      <c r="N126" s="13" t="s">
        <v>48</v>
      </c>
    </row>
    <row r="127" spans="1:14">
      <c r="A127" s="13" t="s">
        <v>421</v>
      </c>
      <c r="B127" s="13" t="s">
        <v>76</v>
      </c>
      <c r="C127" s="14" t="s">
        <v>422</v>
      </c>
      <c r="D127" s="13" t="s">
        <v>42</v>
      </c>
      <c r="E127" s="13" t="s">
        <v>56</v>
      </c>
      <c r="F127" s="13"/>
      <c r="G127" s="14" t="s">
        <v>99</v>
      </c>
      <c r="H127" s="13" t="s">
        <v>20</v>
      </c>
      <c r="I127" s="13" t="s">
        <v>16</v>
      </c>
      <c r="J127" s="13" t="s">
        <v>94</v>
      </c>
      <c r="K127" s="14" t="s">
        <v>100</v>
      </c>
      <c r="L127" s="13" t="s">
        <v>101</v>
      </c>
      <c r="M127" s="13" t="s">
        <v>7</v>
      </c>
      <c r="N127" s="13" t="s">
        <v>48</v>
      </c>
    </row>
    <row r="128" spans="1:14" ht="26.1">
      <c r="A128" s="13" t="s">
        <v>423</v>
      </c>
      <c r="B128" s="13" t="s">
        <v>297</v>
      </c>
      <c r="C128" s="14" t="s">
        <v>424</v>
      </c>
      <c r="D128" s="13" t="s">
        <v>42</v>
      </c>
      <c r="E128" s="13" t="s">
        <v>56</v>
      </c>
      <c r="F128" s="13"/>
      <c r="G128" s="14" t="s">
        <v>368</v>
      </c>
      <c r="H128" s="13" t="s">
        <v>17</v>
      </c>
      <c r="I128" s="13" t="s">
        <v>16</v>
      </c>
      <c r="J128" s="13" t="s">
        <v>300</v>
      </c>
      <c r="K128" s="14" t="s">
        <v>369</v>
      </c>
      <c r="L128" s="13" t="s">
        <v>47</v>
      </c>
      <c r="M128" s="13" t="s">
        <v>7</v>
      </c>
      <c r="N128" s="13" t="s">
        <v>48</v>
      </c>
    </row>
    <row r="129" spans="1:14">
      <c r="A129" s="13" t="s">
        <v>425</v>
      </c>
      <c r="B129" s="13" t="s">
        <v>40</v>
      </c>
      <c r="C129" s="14" t="s">
        <v>426</v>
      </c>
      <c r="D129" s="13" t="s">
        <v>42</v>
      </c>
      <c r="E129" s="13" t="s">
        <v>56</v>
      </c>
      <c r="F129" s="13"/>
      <c r="G129" s="14" t="s">
        <v>427</v>
      </c>
      <c r="H129" s="13" t="s">
        <v>13</v>
      </c>
      <c r="I129" s="13" t="s">
        <v>18</v>
      </c>
      <c r="J129" s="13" t="s">
        <v>428</v>
      </c>
      <c r="K129" s="14" t="s">
        <v>429</v>
      </c>
      <c r="L129" s="13" t="s">
        <v>47</v>
      </c>
      <c r="M129" s="13" t="s">
        <v>7</v>
      </c>
      <c r="N129" s="13" t="s">
        <v>48</v>
      </c>
    </row>
    <row r="130" spans="1:14" ht="26.1">
      <c r="A130" s="13" t="s">
        <v>430</v>
      </c>
      <c r="B130" s="13" t="s">
        <v>70</v>
      </c>
      <c r="C130" s="14" t="s">
        <v>431</v>
      </c>
      <c r="D130" s="13" t="s">
        <v>42</v>
      </c>
      <c r="E130" s="13" t="s">
        <v>56</v>
      </c>
      <c r="F130" s="13"/>
      <c r="G130" s="14" t="s">
        <v>72</v>
      </c>
      <c r="H130" s="13" t="s">
        <v>17</v>
      </c>
      <c r="I130" s="13" t="s">
        <v>16</v>
      </c>
      <c r="J130" s="13" t="s">
        <v>73</v>
      </c>
      <c r="K130" s="14" t="s">
        <v>74</v>
      </c>
      <c r="L130" s="13" t="s">
        <v>47</v>
      </c>
      <c r="M130" s="13" t="s">
        <v>7</v>
      </c>
      <c r="N130" s="13" t="s">
        <v>48</v>
      </c>
    </row>
    <row r="131" spans="1:14" ht="26.1">
      <c r="A131" s="13" t="s">
        <v>432</v>
      </c>
      <c r="B131" s="13" t="s">
        <v>60</v>
      </c>
      <c r="C131" s="14" t="s">
        <v>433</v>
      </c>
      <c r="D131" s="13" t="s">
        <v>42</v>
      </c>
      <c r="E131" s="13" t="s">
        <v>56</v>
      </c>
      <c r="F131" s="13"/>
      <c r="G131" s="14" t="s">
        <v>210</v>
      </c>
      <c r="H131" s="13" t="s">
        <v>15</v>
      </c>
      <c r="I131" s="13" t="s">
        <v>16</v>
      </c>
      <c r="J131" s="13" t="s">
        <v>211</v>
      </c>
      <c r="K131" s="14" t="s">
        <v>212</v>
      </c>
      <c r="L131" s="13" t="s">
        <v>47</v>
      </c>
      <c r="M131" s="13" t="s">
        <v>7</v>
      </c>
      <c r="N131" s="13" t="s">
        <v>48</v>
      </c>
    </row>
    <row r="132" spans="1:14" ht="26.1">
      <c r="A132" s="13" t="s">
        <v>434</v>
      </c>
      <c r="B132" s="13" t="s">
        <v>125</v>
      </c>
      <c r="C132" s="14" t="s">
        <v>435</v>
      </c>
      <c r="D132" s="13" t="s">
        <v>42</v>
      </c>
      <c r="E132" s="13" t="s">
        <v>43</v>
      </c>
      <c r="F132" s="13"/>
      <c r="G132" s="14" t="s">
        <v>436</v>
      </c>
      <c r="H132" s="13" t="s">
        <v>15</v>
      </c>
      <c r="I132" s="13" t="s">
        <v>14</v>
      </c>
      <c r="J132" s="13" t="s">
        <v>129</v>
      </c>
      <c r="K132" s="14" t="s">
        <v>437</v>
      </c>
      <c r="L132" s="13" t="s">
        <v>47</v>
      </c>
      <c r="M132" s="13" t="s">
        <v>7</v>
      </c>
      <c r="N132" s="13" t="s">
        <v>48</v>
      </c>
    </row>
    <row r="133" spans="1:14" ht="26.1">
      <c r="A133" s="13" t="s">
        <v>438</v>
      </c>
      <c r="B133" s="13" t="s">
        <v>70</v>
      </c>
      <c r="C133" s="14" t="s">
        <v>439</v>
      </c>
      <c r="D133" s="13" t="s">
        <v>42</v>
      </c>
      <c r="E133" s="13" t="s">
        <v>56</v>
      </c>
      <c r="F133" s="13"/>
      <c r="G133" s="14" t="s">
        <v>72</v>
      </c>
      <c r="H133" s="13" t="s">
        <v>17</v>
      </c>
      <c r="I133" s="13" t="s">
        <v>16</v>
      </c>
      <c r="J133" s="13" t="s">
        <v>73</v>
      </c>
      <c r="K133" s="14" t="s">
        <v>74</v>
      </c>
      <c r="L133" s="13" t="s">
        <v>47</v>
      </c>
      <c r="M133" s="13" t="s">
        <v>7</v>
      </c>
      <c r="N133" s="13" t="s">
        <v>48</v>
      </c>
    </row>
    <row r="134" spans="1:14" ht="26.1">
      <c r="A134" s="13" t="s">
        <v>440</v>
      </c>
      <c r="B134" s="13" t="s">
        <v>70</v>
      </c>
      <c r="C134" s="14" t="s">
        <v>441</v>
      </c>
      <c r="D134" s="13" t="s">
        <v>42</v>
      </c>
      <c r="E134" s="13" t="s">
        <v>56</v>
      </c>
      <c r="F134" s="13"/>
      <c r="G134" s="14" t="s">
        <v>72</v>
      </c>
      <c r="H134" s="13" t="s">
        <v>17</v>
      </c>
      <c r="I134" s="13" t="s">
        <v>16</v>
      </c>
      <c r="J134" s="13" t="s">
        <v>73</v>
      </c>
      <c r="K134" s="14" t="s">
        <v>74</v>
      </c>
      <c r="L134" s="13" t="s">
        <v>47</v>
      </c>
      <c r="M134" s="13" t="s">
        <v>7</v>
      </c>
      <c r="N134" s="13" t="s">
        <v>48</v>
      </c>
    </row>
    <row r="135" spans="1:14" ht="26.1">
      <c r="A135" s="13" t="s">
        <v>442</v>
      </c>
      <c r="B135" s="13" t="s">
        <v>50</v>
      </c>
      <c r="C135" s="14" t="s">
        <v>443</v>
      </c>
      <c r="D135" s="13" t="s">
        <v>42</v>
      </c>
      <c r="E135" s="13" t="s">
        <v>56</v>
      </c>
      <c r="F135" s="13"/>
      <c r="G135" s="14" t="s">
        <v>444</v>
      </c>
      <c r="H135" s="13" t="s">
        <v>15</v>
      </c>
      <c r="I135" s="13" t="s">
        <v>16</v>
      </c>
      <c r="J135" s="13" t="s">
        <v>300</v>
      </c>
      <c r="K135" s="14" t="s">
        <v>445</v>
      </c>
      <c r="L135" s="13" t="s">
        <v>47</v>
      </c>
      <c r="M135" s="13" t="s">
        <v>7</v>
      </c>
      <c r="N135" s="13" t="s">
        <v>48</v>
      </c>
    </row>
    <row r="136" spans="1:14" ht="26.1">
      <c r="A136" s="13" t="s">
        <v>446</v>
      </c>
      <c r="B136" s="13" t="s">
        <v>191</v>
      </c>
      <c r="C136" s="14" t="s">
        <v>447</v>
      </c>
      <c r="D136" s="13" t="s">
        <v>42</v>
      </c>
      <c r="E136" s="13" t="s">
        <v>56</v>
      </c>
      <c r="F136" s="13"/>
      <c r="G136" s="14" t="s">
        <v>193</v>
      </c>
      <c r="H136" s="13" t="s">
        <v>19</v>
      </c>
      <c r="I136" s="13" t="s">
        <v>14</v>
      </c>
      <c r="J136" s="13" t="s">
        <v>194</v>
      </c>
      <c r="K136" s="14" t="s">
        <v>195</v>
      </c>
      <c r="L136" s="13" t="s">
        <v>47</v>
      </c>
      <c r="M136" s="13" t="s">
        <v>7</v>
      </c>
      <c r="N136" s="13" t="s">
        <v>48</v>
      </c>
    </row>
    <row r="137" spans="1:14" ht="26.1">
      <c r="A137" s="13" t="s">
        <v>448</v>
      </c>
      <c r="B137" s="13" t="s">
        <v>191</v>
      </c>
      <c r="C137" s="14" t="s">
        <v>449</v>
      </c>
      <c r="D137" s="13" t="s">
        <v>42</v>
      </c>
      <c r="E137" s="13" t="s">
        <v>56</v>
      </c>
      <c r="F137" s="13"/>
      <c r="G137" s="14" t="s">
        <v>193</v>
      </c>
      <c r="H137" s="13" t="s">
        <v>19</v>
      </c>
      <c r="I137" s="13" t="s">
        <v>14</v>
      </c>
      <c r="J137" s="13" t="s">
        <v>194</v>
      </c>
      <c r="K137" s="14" t="s">
        <v>195</v>
      </c>
      <c r="L137" s="13" t="s">
        <v>47</v>
      </c>
      <c r="M137" s="13" t="s">
        <v>7</v>
      </c>
      <c r="N137" s="13" t="s">
        <v>48</v>
      </c>
    </row>
    <row r="138" spans="1:14" ht="26.1">
      <c r="A138" s="13" t="s">
        <v>450</v>
      </c>
      <c r="B138" s="13" t="s">
        <v>70</v>
      </c>
      <c r="C138" s="14" t="s">
        <v>451</v>
      </c>
      <c r="D138" s="13" t="s">
        <v>42</v>
      </c>
      <c r="E138" s="13" t="s">
        <v>56</v>
      </c>
      <c r="F138" s="13"/>
      <c r="G138" s="14" t="s">
        <v>72</v>
      </c>
      <c r="H138" s="13" t="s">
        <v>17</v>
      </c>
      <c r="I138" s="13" t="s">
        <v>16</v>
      </c>
      <c r="J138" s="13" t="s">
        <v>73</v>
      </c>
      <c r="K138" s="14" t="s">
        <v>74</v>
      </c>
      <c r="L138" s="13" t="s">
        <v>47</v>
      </c>
      <c r="M138" s="13" t="s">
        <v>7</v>
      </c>
      <c r="N138" s="13" t="s">
        <v>48</v>
      </c>
    </row>
    <row r="139" spans="1:14">
      <c r="A139" s="13" t="s">
        <v>452</v>
      </c>
      <c r="B139" s="13" t="s">
        <v>191</v>
      </c>
      <c r="C139" s="14" t="s">
        <v>453</v>
      </c>
      <c r="D139" s="13" t="s">
        <v>42</v>
      </c>
      <c r="E139" s="13" t="s">
        <v>56</v>
      </c>
      <c r="F139" s="13"/>
      <c r="G139" s="14" t="s">
        <v>322</v>
      </c>
      <c r="H139" s="13" t="s">
        <v>17</v>
      </c>
      <c r="I139" s="13" t="s">
        <v>16</v>
      </c>
      <c r="J139" s="13" t="s">
        <v>323</v>
      </c>
      <c r="K139" s="14" t="s">
        <v>324</v>
      </c>
      <c r="L139" s="13" t="s">
        <v>47</v>
      </c>
      <c r="M139" s="13" t="s">
        <v>7</v>
      </c>
      <c r="N139" s="13" t="s">
        <v>48</v>
      </c>
    </row>
    <row r="140" spans="1:14" ht="26.1">
      <c r="A140" s="13" t="s">
        <v>454</v>
      </c>
      <c r="B140" s="13" t="s">
        <v>70</v>
      </c>
      <c r="C140" s="14" t="s">
        <v>455</v>
      </c>
      <c r="D140" s="13" t="s">
        <v>42</v>
      </c>
      <c r="E140" s="13" t="s">
        <v>56</v>
      </c>
      <c r="F140" s="13"/>
      <c r="G140" s="14" t="s">
        <v>72</v>
      </c>
      <c r="H140" s="13" t="s">
        <v>17</v>
      </c>
      <c r="I140" s="13" t="s">
        <v>16</v>
      </c>
      <c r="J140" s="13" t="s">
        <v>73</v>
      </c>
      <c r="K140" s="14" t="s">
        <v>74</v>
      </c>
      <c r="L140" s="13" t="s">
        <v>47</v>
      </c>
      <c r="M140" s="13" t="s">
        <v>7</v>
      </c>
      <c r="N140" s="13" t="s">
        <v>48</v>
      </c>
    </row>
    <row r="141" spans="1:14" ht="26.1">
      <c r="A141" s="13" t="s">
        <v>456</v>
      </c>
      <c r="B141" s="13" t="s">
        <v>70</v>
      </c>
      <c r="C141" s="14" t="s">
        <v>457</v>
      </c>
      <c r="D141" s="13" t="s">
        <v>42</v>
      </c>
      <c r="E141" s="13" t="s">
        <v>56</v>
      </c>
      <c r="F141" s="13"/>
      <c r="G141" s="14" t="s">
        <v>72</v>
      </c>
      <c r="H141" s="13" t="s">
        <v>17</v>
      </c>
      <c r="I141" s="13" t="s">
        <v>16</v>
      </c>
      <c r="J141" s="13" t="s">
        <v>73</v>
      </c>
      <c r="K141" s="14" t="s">
        <v>74</v>
      </c>
      <c r="L141" s="13" t="s">
        <v>47</v>
      </c>
      <c r="M141" s="13" t="s">
        <v>7</v>
      </c>
      <c r="N141" s="13" t="s">
        <v>48</v>
      </c>
    </row>
    <row r="142" spans="1:14">
      <c r="A142" s="13" t="s">
        <v>458</v>
      </c>
      <c r="B142" s="13" t="s">
        <v>40</v>
      </c>
      <c r="C142" s="14" t="s">
        <v>459</v>
      </c>
      <c r="D142" s="13" t="s">
        <v>42</v>
      </c>
      <c r="E142" s="13" t="s">
        <v>56</v>
      </c>
      <c r="F142" s="13"/>
      <c r="G142" s="14" t="s">
        <v>460</v>
      </c>
      <c r="H142" s="13" t="s">
        <v>15</v>
      </c>
      <c r="I142" s="13" t="s">
        <v>16</v>
      </c>
      <c r="J142" s="13" t="s">
        <v>270</v>
      </c>
      <c r="K142" s="14" t="s">
        <v>461</v>
      </c>
      <c r="L142" s="13" t="s">
        <v>47</v>
      </c>
      <c r="M142" s="13" t="s">
        <v>7</v>
      </c>
      <c r="N142" s="13" t="s">
        <v>48</v>
      </c>
    </row>
    <row r="143" spans="1:14">
      <c r="A143" s="13" t="s">
        <v>462</v>
      </c>
      <c r="B143" s="13" t="s">
        <v>40</v>
      </c>
      <c r="C143" s="14" t="s">
        <v>463</v>
      </c>
      <c r="D143" s="13" t="s">
        <v>42</v>
      </c>
      <c r="E143" s="13" t="s">
        <v>56</v>
      </c>
      <c r="F143" s="13"/>
      <c r="G143" s="14" t="s">
        <v>460</v>
      </c>
      <c r="H143" s="13" t="s">
        <v>15</v>
      </c>
      <c r="I143" s="13" t="s">
        <v>16</v>
      </c>
      <c r="J143" s="13" t="s">
        <v>270</v>
      </c>
      <c r="K143" s="14" t="s">
        <v>461</v>
      </c>
      <c r="L143" s="13" t="s">
        <v>47</v>
      </c>
      <c r="M143" s="13" t="s">
        <v>7</v>
      </c>
      <c r="N143" s="13" t="s">
        <v>48</v>
      </c>
    </row>
    <row r="144" spans="1:14">
      <c r="A144" s="13" t="s">
        <v>464</v>
      </c>
      <c r="B144" s="13" t="s">
        <v>40</v>
      </c>
      <c r="C144" s="14" t="s">
        <v>465</v>
      </c>
      <c r="D144" s="13" t="s">
        <v>42</v>
      </c>
      <c r="E144" s="13" t="s">
        <v>56</v>
      </c>
      <c r="F144" s="13"/>
      <c r="G144" s="14" t="s">
        <v>460</v>
      </c>
      <c r="H144" s="13" t="s">
        <v>15</v>
      </c>
      <c r="I144" s="13" t="s">
        <v>16</v>
      </c>
      <c r="J144" s="13" t="s">
        <v>270</v>
      </c>
      <c r="K144" s="14" t="s">
        <v>461</v>
      </c>
      <c r="L144" s="13" t="s">
        <v>47</v>
      </c>
      <c r="M144" s="13" t="s">
        <v>7</v>
      </c>
      <c r="N144" s="13" t="s">
        <v>48</v>
      </c>
    </row>
    <row r="145" spans="1:14">
      <c r="A145" s="13" t="s">
        <v>466</v>
      </c>
      <c r="B145" s="13" t="s">
        <v>76</v>
      </c>
      <c r="C145" s="14" t="s">
        <v>467</v>
      </c>
      <c r="D145" s="13" t="s">
        <v>153</v>
      </c>
      <c r="E145" s="13" t="s">
        <v>56</v>
      </c>
      <c r="F145" s="13"/>
      <c r="G145" s="14" t="s">
        <v>99</v>
      </c>
      <c r="H145" s="13" t="s">
        <v>20</v>
      </c>
      <c r="I145" s="13" t="s">
        <v>16</v>
      </c>
      <c r="J145" s="13" t="s">
        <v>94</v>
      </c>
      <c r="K145" s="14" t="s">
        <v>100</v>
      </c>
      <c r="L145" s="13" t="s">
        <v>101</v>
      </c>
      <c r="M145" s="13" t="s">
        <v>7</v>
      </c>
      <c r="N145" s="13" t="s">
        <v>48</v>
      </c>
    </row>
    <row r="146" spans="1:14">
      <c r="A146" s="13" t="s">
        <v>468</v>
      </c>
      <c r="B146" s="13" t="s">
        <v>76</v>
      </c>
      <c r="C146" s="14" t="s">
        <v>469</v>
      </c>
      <c r="D146" s="13" t="s">
        <v>42</v>
      </c>
      <c r="E146" s="13" t="s">
        <v>56</v>
      </c>
      <c r="F146" s="13"/>
      <c r="G146" s="14" t="s">
        <v>99</v>
      </c>
      <c r="H146" s="13" t="s">
        <v>20</v>
      </c>
      <c r="I146" s="13" t="s">
        <v>16</v>
      </c>
      <c r="J146" s="13" t="s">
        <v>94</v>
      </c>
      <c r="K146" s="14" t="s">
        <v>100</v>
      </c>
      <c r="L146" s="13" t="s">
        <v>101</v>
      </c>
      <c r="M146" s="13" t="s">
        <v>7</v>
      </c>
      <c r="N146" s="13" t="s">
        <v>48</v>
      </c>
    </row>
    <row r="147" spans="1:14">
      <c r="A147" s="13" t="s">
        <v>470</v>
      </c>
      <c r="B147" s="13" t="s">
        <v>76</v>
      </c>
      <c r="C147" s="14" t="s">
        <v>471</v>
      </c>
      <c r="D147" s="13" t="s">
        <v>42</v>
      </c>
      <c r="E147" s="13" t="s">
        <v>56</v>
      </c>
      <c r="F147" s="13"/>
      <c r="G147" s="14" t="s">
        <v>99</v>
      </c>
      <c r="H147" s="13" t="s">
        <v>20</v>
      </c>
      <c r="I147" s="13" t="s">
        <v>16</v>
      </c>
      <c r="J147" s="13" t="s">
        <v>94</v>
      </c>
      <c r="K147" s="14" t="s">
        <v>100</v>
      </c>
      <c r="L147" s="13" t="s">
        <v>101</v>
      </c>
      <c r="M147" s="13" t="s">
        <v>7</v>
      </c>
      <c r="N147" s="13" t="s">
        <v>48</v>
      </c>
    </row>
    <row r="148" spans="1:14" ht="26.1">
      <c r="A148" s="13" t="s">
        <v>472</v>
      </c>
      <c r="B148" s="13" t="s">
        <v>297</v>
      </c>
      <c r="C148" s="14" t="s">
        <v>473</v>
      </c>
      <c r="D148" s="13" t="s">
        <v>42</v>
      </c>
      <c r="E148" s="13" t="s">
        <v>56</v>
      </c>
      <c r="F148" s="13"/>
      <c r="G148" s="14" t="s">
        <v>368</v>
      </c>
      <c r="H148" s="13" t="s">
        <v>17</v>
      </c>
      <c r="I148" s="13" t="s">
        <v>16</v>
      </c>
      <c r="J148" s="13" t="s">
        <v>300</v>
      </c>
      <c r="K148" s="14" t="s">
        <v>369</v>
      </c>
      <c r="L148" s="13" t="s">
        <v>47</v>
      </c>
      <c r="M148" s="13" t="s">
        <v>7</v>
      </c>
      <c r="N148" s="13" t="s">
        <v>48</v>
      </c>
    </row>
    <row r="149" spans="1:14" ht="26.1">
      <c r="A149" s="13" t="s">
        <v>474</v>
      </c>
      <c r="B149" s="13" t="s">
        <v>297</v>
      </c>
      <c r="C149" s="14" t="s">
        <v>475</v>
      </c>
      <c r="D149" s="13" t="s">
        <v>42</v>
      </c>
      <c r="E149" s="13" t="s">
        <v>56</v>
      </c>
      <c r="F149" s="13"/>
      <c r="G149" s="14" t="s">
        <v>368</v>
      </c>
      <c r="H149" s="13" t="s">
        <v>17</v>
      </c>
      <c r="I149" s="13" t="s">
        <v>16</v>
      </c>
      <c r="J149" s="13" t="s">
        <v>300</v>
      </c>
      <c r="K149" s="14" t="s">
        <v>369</v>
      </c>
      <c r="L149" s="13" t="s">
        <v>47</v>
      </c>
      <c r="M149" s="13" t="s">
        <v>7</v>
      </c>
      <c r="N149" s="13" t="s">
        <v>48</v>
      </c>
    </row>
    <row r="150" spans="1:14" ht="26.1">
      <c r="A150" s="13" t="s">
        <v>476</v>
      </c>
      <c r="B150" s="13" t="s">
        <v>297</v>
      </c>
      <c r="C150" s="14" t="s">
        <v>477</v>
      </c>
      <c r="D150" s="13" t="s">
        <v>42</v>
      </c>
      <c r="E150" s="13" t="s">
        <v>56</v>
      </c>
      <c r="F150" s="13"/>
      <c r="G150" s="14" t="s">
        <v>368</v>
      </c>
      <c r="H150" s="13" t="s">
        <v>17</v>
      </c>
      <c r="I150" s="13" t="s">
        <v>16</v>
      </c>
      <c r="J150" s="13" t="s">
        <v>300</v>
      </c>
      <c r="K150" s="14" t="s">
        <v>369</v>
      </c>
      <c r="L150" s="13" t="s">
        <v>47</v>
      </c>
      <c r="M150" s="13" t="s">
        <v>7</v>
      </c>
      <c r="N150" s="13" t="s">
        <v>48</v>
      </c>
    </row>
    <row r="151" spans="1:14" ht="26.1">
      <c r="A151" s="13" t="s">
        <v>478</v>
      </c>
      <c r="B151" s="13" t="s">
        <v>297</v>
      </c>
      <c r="C151" s="14" t="s">
        <v>479</v>
      </c>
      <c r="D151" s="13" t="s">
        <v>42</v>
      </c>
      <c r="E151" s="13" t="s">
        <v>56</v>
      </c>
      <c r="F151" s="13"/>
      <c r="G151" s="14" t="s">
        <v>368</v>
      </c>
      <c r="H151" s="13" t="s">
        <v>17</v>
      </c>
      <c r="I151" s="13" t="s">
        <v>16</v>
      </c>
      <c r="J151" s="13" t="s">
        <v>300</v>
      </c>
      <c r="K151" s="14" t="s">
        <v>369</v>
      </c>
      <c r="L151" s="13" t="s">
        <v>47</v>
      </c>
      <c r="M151" s="13" t="s">
        <v>7</v>
      </c>
      <c r="N151" s="13" t="s">
        <v>48</v>
      </c>
    </row>
    <row r="152" spans="1:14" ht="26.1">
      <c r="A152" s="13" t="s">
        <v>480</v>
      </c>
      <c r="B152" s="13" t="s">
        <v>297</v>
      </c>
      <c r="C152" s="14" t="s">
        <v>481</v>
      </c>
      <c r="D152" s="13" t="s">
        <v>42</v>
      </c>
      <c r="E152" s="13" t="s">
        <v>56</v>
      </c>
      <c r="F152" s="13"/>
      <c r="G152" s="14" t="s">
        <v>368</v>
      </c>
      <c r="H152" s="13" t="s">
        <v>17</v>
      </c>
      <c r="I152" s="13" t="s">
        <v>16</v>
      </c>
      <c r="J152" s="13" t="s">
        <v>300</v>
      </c>
      <c r="K152" s="14" t="s">
        <v>369</v>
      </c>
      <c r="L152" s="13" t="s">
        <v>47</v>
      </c>
      <c r="M152" s="13" t="s">
        <v>7</v>
      </c>
      <c r="N152" s="13" t="s">
        <v>48</v>
      </c>
    </row>
    <row r="153" spans="1:14" ht="26.1">
      <c r="A153" s="13" t="s">
        <v>482</v>
      </c>
      <c r="B153" s="13" t="s">
        <v>297</v>
      </c>
      <c r="C153" s="14" t="s">
        <v>483</v>
      </c>
      <c r="D153" s="13" t="s">
        <v>42</v>
      </c>
      <c r="E153" s="13" t="s">
        <v>56</v>
      </c>
      <c r="F153" s="13"/>
      <c r="G153" s="14" t="s">
        <v>368</v>
      </c>
      <c r="H153" s="13" t="s">
        <v>17</v>
      </c>
      <c r="I153" s="13" t="s">
        <v>16</v>
      </c>
      <c r="J153" s="13" t="s">
        <v>300</v>
      </c>
      <c r="K153" s="14" t="s">
        <v>369</v>
      </c>
      <c r="L153" s="13" t="s">
        <v>47</v>
      </c>
      <c r="M153" s="13" t="s">
        <v>7</v>
      </c>
      <c r="N153" s="13" t="s">
        <v>48</v>
      </c>
    </row>
    <row r="154" spans="1:14" ht="26.1">
      <c r="A154" s="13" t="s">
        <v>484</v>
      </c>
      <c r="B154" s="13" t="s">
        <v>297</v>
      </c>
      <c r="C154" s="14" t="s">
        <v>485</v>
      </c>
      <c r="D154" s="13" t="s">
        <v>42</v>
      </c>
      <c r="E154" s="13" t="s">
        <v>56</v>
      </c>
      <c r="F154" s="13"/>
      <c r="G154" s="14" t="s">
        <v>368</v>
      </c>
      <c r="H154" s="13" t="s">
        <v>17</v>
      </c>
      <c r="I154" s="13" t="s">
        <v>16</v>
      </c>
      <c r="J154" s="13" t="s">
        <v>300</v>
      </c>
      <c r="K154" s="14" t="s">
        <v>369</v>
      </c>
      <c r="L154" s="13" t="s">
        <v>47</v>
      </c>
      <c r="M154" s="13" t="s">
        <v>7</v>
      </c>
      <c r="N154" s="13" t="s">
        <v>48</v>
      </c>
    </row>
    <row r="155" spans="1:14">
      <c r="A155" s="13" t="s">
        <v>486</v>
      </c>
      <c r="B155" s="13" t="s">
        <v>40</v>
      </c>
      <c r="C155" s="14" t="s">
        <v>487</v>
      </c>
      <c r="D155" s="13" t="s">
        <v>42</v>
      </c>
      <c r="E155" s="13" t="s">
        <v>56</v>
      </c>
      <c r="F155" s="13"/>
      <c r="G155" s="14" t="s">
        <v>99</v>
      </c>
      <c r="H155" s="13" t="s">
        <v>20</v>
      </c>
      <c r="I155" s="13" t="s">
        <v>16</v>
      </c>
      <c r="J155" s="13" t="s">
        <v>94</v>
      </c>
      <c r="K155" s="14" t="s">
        <v>100</v>
      </c>
      <c r="L155" s="13" t="s">
        <v>101</v>
      </c>
      <c r="M155" s="13" t="s">
        <v>7</v>
      </c>
      <c r="N155" s="13" t="s">
        <v>48</v>
      </c>
    </row>
    <row r="156" spans="1:14" ht="26.1">
      <c r="A156" s="13" t="s">
        <v>488</v>
      </c>
      <c r="B156" s="13" t="s">
        <v>60</v>
      </c>
      <c r="C156" s="14" t="s">
        <v>489</v>
      </c>
      <c r="D156" s="13" t="s">
        <v>42</v>
      </c>
      <c r="E156" s="13" t="s">
        <v>56</v>
      </c>
      <c r="F156" s="13"/>
      <c r="G156" s="14" t="s">
        <v>490</v>
      </c>
      <c r="H156" s="13" t="s">
        <v>15</v>
      </c>
      <c r="I156" s="13" t="s">
        <v>16</v>
      </c>
      <c r="J156" s="13" t="s">
        <v>67</v>
      </c>
      <c r="K156" s="14" t="s">
        <v>491</v>
      </c>
      <c r="L156" s="13" t="s">
        <v>47</v>
      </c>
      <c r="M156" s="13" t="s">
        <v>7</v>
      </c>
      <c r="N156" s="13" t="s">
        <v>48</v>
      </c>
    </row>
    <row r="157" spans="1:14" ht="26.1">
      <c r="A157" s="13" t="s">
        <v>492</v>
      </c>
      <c r="B157" s="13" t="s">
        <v>191</v>
      </c>
      <c r="C157" s="14" t="s">
        <v>493</v>
      </c>
      <c r="D157" s="13" t="s">
        <v>42</v>
      </c>
      <c r="E157" s="13" t="s">
        <v>56</v>
      </c>
      <c r="F157" s="13"/>
      <c r="G157" s="14" t="s">
        <v>193</v>
      </c>
      <c r="H157" s="13" t="s">
        <v>19</v>
      </c>
      <c r="I157" s="13" t="s">
        <v>14</v>
      </c>
      <c r="J157" s="13" t="s">
        <v>194</v>
      </c>
      <c r="K157" s="14" t="s">
        <v>195</v>
      </c>
      <c r="L157" s="13" t="s">
        <v>47</v>
      </c>
      <c r="M157" s="13" t="s">
        <v>7</v>
      </c>
      <c r="N157" s="13" t="s">
        <v>48</v>
      </c>
    </row>
    <row r="158" spans="1:14" ht="26.1">
      <c r="A158" s="13" t="s">
        <v>494</v>
      </c>
      <c r="B158" s="13" t="s">
        <v>70</v>
      </c>
      <c r="C158" s="14" t="s">
        <v>495</v>
      </c>
      <c r="D158" s="13" t="s">
        <v>42</v>
      </c>
      <c r="E158" s="13" t="s">
        <v>56</v>
      </c>
      <c r="F158" s="13"/>
      <c r="G158" s="14" t="s">
        <v>72</v>
      </c>
      <c r="H158" s="13" t="s">
        <v>17</v>
      </c>
      <c r="I158" s="13" t="s">
        <v>16</v>
      </c>
      <c r="J158" s="13" t="s">
        <v>73</v>
      </c>
      <c r="K158" s="14" t="s">
        <v>74</v>
      </c>
      <c r="L158" s="13" t="s">
        <v>47</v>
      </c>
      <c r="M158" s="13" t="s">
        <v>7</v>
      </c>
      <c r="N158" s="13" t="s">
        <v>48</v>
      </c>
    </row>
    <row r="159" spans="1:14" ht="26.1">
      <c r="A159" s="13" t="s">
        <v>496</v>
      </c>
      <c r="B159" s="13" t="s">
        <v>50</v>
      </c>
      <c r="C159" s="14" t="s">
        <v>497</v>
      </c>
      <c r="D159" s="13" t="s">
        <v>42</v>
      </c>
      <c r="E159" s="13" t="s">
        <v>56</v>
      </c>
      <c r="F159" s="13"/>
      <c r="G159" s="14" t="s">
        <v>498</v>
      </c>
      <c r="H159" s="13" t="s">
        <v>15</v>
      </c>
      <c r="I159" s="13" t="s">
        <v>16</v>
      </c>
      <c r="J159" s="13" t="s">
        <v>45</v>
      </c>
      <c r="K159" s="14" t="s">
        <v>499</v>
      </c>
      <c r="L159" s="13" t="s">
        <v>47</v>
      </c>
      <c r="M159" s="13" t="s">
        <v>7</v>
      </c>
      <c r="N159" s="13" t="s">
        <v>48</v>
      </c>
    </row>
    <row r="160" spans="1:14">
      <c r="A160" s="13" t="s">
        <v>500</v>
      </c>
      <c r="B160" s="13" t="s">
        <v>50</v>
      </c>
      <c r="C160" s="14" t="s">
        <v>501</v>
      </c>
      <c r="D160" s="13" t="s">
        <v>42</v>
      </c>
      <c r="E160" s="13" t="s">
        <v>56</v>
      </c>
      <c r="F160" s="13"/>
      <c r="G160" s="14" t="s">
        <v>57</v>
      </c>
      <c r="H160" s="13" t="s">
        <v>15</v>
      </c>
      <c r="I160" s="13" t="s">
        <v>16</v>
      </c>
      <c r="J160" s="13" t="s">
        <v>45</v>
      </c>
      <c r="K160" s="14" t="s">
        <v>502</v>
      </c>
      <c r="L160" s="13" t="s">
        <v>47</v>
      </c>
      <c r="M160" s="13" t="s">
        <v>7</v>
      </c>
      <c r="N160" s="13" t="s">
        <v>48</v>
      </c>
    </row>
    <row r="161" spans="1:14" ht="26.1">
      <c r="A161" s="13" t="s">
        <v>503</v>
      </c>
      <c r="B161" s="13" t="s">
        <v>125</v>
      </c>
      <c r="C161" s="14" t="s">
        <v>504</v>
      </c>
      <c r="D161" s="13" t="s">
        <v>42</v>
      </c>
      <c r="E161" s="13" t="s">
        <v>56</v>
      </c>
      <c r="F161" s="13"/>
      <c r="G161" s="14" t="s">
        <v>128</v>
      </c>
      <c r="H161" s="13" t="s">
        <v>19</v>
      </c>
      <c r="I161" s="13" t="s">
        <v>14</v>
      </c>
      <c r="J161" s="13" t="s">
        <v>129</v>
      </c>
      <c r="K161" s="14" t="s">
        <v>130</v>
      </c>
      <c r="L161" s="13" t="s">
        <v>47</v>
      </c>
      <c r="M161" s="13" t="s">
        <v>7</v>
      </c>
      <c r="N161" s="13" t="s">
        <v>48</v>
      </c>
    </row>
    <row r="162" spans="1:14">
      <c r="A162" s="13" t="s">
        <v>505</v>
      </c>
      <c r="B162" s="13" t="s">
        <v>50</v>
      </c>
      <c r="C162" s="14" t="s">
        <v>506</v>
      </c>
      <c r="D162" s="13" t="s">
        <v>42</v>
      </c>
      <c r="E162" s="13" t="s">
        <v>56</v>
      </c>
      <c r="F162" s="13"/>
      <c r="G162" s="14" t="s">
        <v>507</v>
      </c>
      <c r="H162" s="13" t="s">
        <v>15</v>
      </c>
      <c r="I162" s="13" t="s">
        <v>18</v>
      </c>
      <c r="J162" s="13" t="s">
        <v>45</v>
      </c>
      <c r="K162" s="14" t="s">
        <v>508</v>
      </c>
      <c r="L162" s="13" t="s">
        <v>47</v>
      </c>
      <c r="M162" s="13" t="s">
        <v>7</v>
      </c>
      <c r="N162" s="13" t="s">
        <v>48</v>
      </c>
    </row>
    <row r="163" spans="1:14" ht="26.1">
      <c r="A163" s="13" t="s">
        <v>509</v>
      </c>
      <c r="B163" s="13" t="s">
        <v>70</v>
      </c>
      <c r="C163" s="14" t="s">
        <v>510</v>
      </c>
      <c r="D163" s="13" t="s">
        <v>42</v>
      </c>
      <c r="E163" s="13" t="s">
        <v>56</v>
      </c>
      <c r="F163" s="13"/>
      <c r="G163" s="14" t="s">
        <v>72</v>
      </c>
      <c r="H163" s="13" t="s">
        <v>17</v>
      </c>
      <c r="I163" s="13" t="s">
        <v>16</v>
      </c>
      <c r="J163" s="13" t="s">
        <v>73</v>
      </c>
      <c r="K163" s="14" t="s">
        <v>74</v>
      </c>
      <c r="L163" s="13" t="s">
        <v>47</v>
      </c>
      <c r="M163" s="13" t="s">
        <v>7</v>
      </c>
      <c r="N163" s="13" t="s">
        <v>48</v>
      </c>
    </row>
    <row r="164" spans="1:14" ht="26.1">
      <c r="A164" s="13" t="s">
        <v>511</v>
      </c>
      <c r="B164" s="13" t="s">
        <v>297</v>
      </c>
      <c r="C164" s="14" t="s">
        <v>512</v>
      </c>
      <c r="D164" s="13" t="s">
        <v>42</v>
      </c>
      <c r="E164" s="13" t="s">
        <v>56</v>
      </c>
      <c r="F164" s="13"/>
      <c r="G164" s="14" t="s">
        <v>368</v>
      </c>
      <c r="H164" s="13" t="s">
        <v>17</v>
      </c>
      <c r="I164" s="13" t="s">
        <v>16</v>
      </c>
      <c r="J164" s="13" t="s">
        <v>300</v>
      </c>
      <c r="K164" s="14" t="s">
        <v>369</v>
      </c>
      <c r="L164" s="13" t="s">
        <v>47</v>
      </c>
      <c r="M164" s="13" t="s">
        <v>7</v>
      </c>
      <c r="N164" s="13" t="s">
        <v>48</v>
      </c>
    </row>
    <row r="165" spans="1:14" ht="26.1">
      <c r="A165" s="13" t="s">
        <v>513</v>
      </c>
      <c r="B165" s="13" t="s">
        <v>297</v>
      </c>
      <c r="C165" s="14" t="s">
        <v>514</v>
      </c>
      <c r="D165" s="13" t="s">
        <v>42</v>
      </c>
      <c r="E165" s="13" t="s">
        <v>56</v>
      </c>
      <c r="F165" s="13"/>
      <c r="G165" s="14" t="s">
        <v>368</v>
      </c>
      <c r="H165" s="13" t="s">
        <v>17</v>
      </c>
      <c r="I165" s="13" t="s">
        <v>16</v>
      </c>
      <c r="J165" s="13" t="s">
        <v>300</v>
      </c>
      <c r="K165" s="14" t="s">
        <v>369</v>
      </c>
      <c r="L165" s="13" t="s">
        <v>47</v>
      </c>
      <c r="M165" s="13" t="s">
        <v>7</v>
      </c>
      <c r="N165" s="13" t="s">
        <v>48</v>
      </c>
    </row>
    <row r="166" spans="1:14">
      <c r="A166" s="13" t="s">
        <v>515</v>
      </c>
      <c r="B166" s="13" t="s">
        <v>60</v>
      </c>
      <c r="C166" s="14" t="s">
        <v>516</v>
      </c>
      <c r="D166" s="13" t="s">
        <v>42</v>
      </c>
      <c r="E166" s="13" t="s">
        <v>56</v>
      </c>
      <c r="F166" s="13"/>
      <c r="G166" s="14" t="s">
        <v>517</v>
      </c>
      <c r="H166" s="13" t="s">
        <v>15</v>
      </c>
      <c r="I166" s="13" t="s">
        <v>16</v>
      </c>
      <c r="J166" s="13" t="s">
        <v>518</v>
      </c>
      <c r="K166" s="14" t="s">
        <v>519</v>
      </c>
      <c r="L166" s="13" t="s">
        <v>47</v>
      </c>
      <c r="M166" s="13" t="s">
        <v>7</v>
      </c>
      <c r="N166" s="13" t="s">
        <v>48</v>
      </c>
    </row>
    <row r="167" spans="1:14" ht="26.1">
      <c r="A167" s="13" t="s">
        <v>520</v>
      </c>
      <c r="B167" s="13" t="s">
        <v>125</v>
      </c>
      <c r="C167" s="14" t="s">
        <v>521</v>
      </c>
      <c r="D167" s="13" t="s">
        <v>522</v>
      </c>
      <c r="E167" s="13" t="s">
        <v>56</v>
      </c>
      <c r="F167" s="13" t="s">
        <v>520</v>
      </c>
      <c r="G167" s="14" t="s">
        <v>128</v>
      </c>
      <c r="H167" s="13" t="s">
        <v>19</v>
      </c>
      <c r="I167" s="13" t="s">
        <v>14</v>
      </c>
      <c r="J167" s="13" t="s">
        <v>129</v>
      </c>
      <c r="K167" s="14" t="s">
        <v>130</v>
      </c>
      <c r="L167" s="13" t="s">
        <v>47</v>
      </c>
      <c r="M167" s="13" t="s">
        <v>7</v>
      </c>
      <c r="N167" s="13" t="s">
        <v>48</v>
      </c>
    </row>
    <row r="168" spans="1:14">
      <c r="A168" s="13" t="s">
        <v>523</v>
      </c>
      <c r="B168" s="13" t="s">
        <v>125</v>
      </c>
      <c r="C168" s="14" t="s">
        <v>524</v>
      </c>
      <c r="D168" s="13" t="s">
        <v>42</v>
      </c>
      <c r="E168" s="13" t="s">
        <v>56</v>
      </c>
      <c r="F168" s="13" t="s">
        <v>520</v>
      </c>
      <c r="G168" s="14" t="s">
        <v>525</v>
      </c>
      <c r="H168" s="13" t="s">
        <v>21</v>
      </c>
      <c r="I168" s="13" t="s">
        <v>18</v>
      </c>
      <c r="J168" s="13" t="s">
        <v>428</v>
      </c>
      <c r="K168" s="14" t="s">
        <v>526</v>
      </c>
      <c r="L168" s="13" t="s">
        <v>527</v>
      </c>
      <c r="M168" s="13" t="s">
        <v>7</v>
      </c>
      <c r="N168" s="13" t="s">
        <v>48</v>
      </c>
    </row>
    <row r="169" spans="1:14">
      <c r="A169" s="13" t="s">
        <v>528</v>
      </c>
      <c r="B169" s="13" t="s">
        <v>125</v>
      </c>
      <c r="C169" s="14" t="s">
        <v>529</v>
      </c>
      <c r="D169" s="13" t="s">
        <v>42</v>
      </c>
      <c r="E169" s="13" t="s">
        <v>56</v>
      </c>
      <c r="F169" s="13" t="s">
        <v>520</v>
      </c>
      <c r="G169" s="14" t="s">
        <v>525</v>
      </c>
      <c r="H169" s="13" t="s">
        <v>21</v>
      </c>
      <c r="I169" s="13" t="s">
        <v>18</v>
      </c>
      <c r="J169" s="13" t="s">
        <v>428</v>
      </c>
      <c r="K169" s="14" t="s">
        <v>526</v>
      </c>
      <c r="L169" s="13" t="s">
        <v>527</v>
      </c>
      <c r="M169" s="13" t="s">
        <v>7</v>
      </c>
      <c r="N169" s="13" t="s">
        <v>48</v>
      </c>
    </row>
    <row r="170" spans="1:14">
      <c r="A170" s="13" t="s">
        <v>530</v>
      </c>
      <c r="B170" s="13" t="s">
        <v>125</v>
      </c>
      <c r="C170" s="14" t="s">
        <v>531</v>
      </c>
      <c r="D170" s="13" t="s">
        <v>42</v>
      </c>
      <c r="E170" s="13" t="s">
        <v>56</v>
      </c>
      <c r="F170" s="13" t="s">
        <v>520</v>
      </c>
      <c r="G170" s="14" t="s">
        <v>525</v>
      </c>
      <c r="H170" s="13" t="s">
        <v>21</v>
      </c>
      <c r="I170" s="13" t="s">
        <v>18</v>
      </c>
      <c r="J170" s="13" t="s">
        <v>428</v>
      </c>
      <c r="K170" s="14" t="s">
        <v>526</v>
      </c>
      <c r="L170" s="13" t="s">
        <v>527</v>
      </c>
      <c r="M170" s="13" t="s">
        <v>7</v>
      </c>
      <c r="N170" s="13" t="s">
        <v>48</v>
      </c>
    </row>
    <row r="171" spans="1:14">
      <c r="A171" s="13" t="s">
        <v>532</v>
      </c>
      <c r="B171" s="13" t="s">
        <v>125</v>
      </c>
      <c r="C171" s="14" t="s">
        <v>533</v>
      </c>
      <c r="D171" s="13" t="s">
        <v>42</v>
      </c>
      <c r="E171" s="13" t="s">
        <v>56</v>
      </c>
      <c r="F171" s="13" t="s">
        <v>520</v>
      </c>
      <c r="G171" s="14" t="s">
        <v>525</v>
      </c>
      <c r="H171" s="13" t="s">
        <v>21</v>
      </c>
      <c r="I171" s="13" t="s">
        <v>18</v>
      </c>
      <c r="J171" s="13" t="s">
        <v>428</v>
      </c>
      <c r="K171" s="14" t="s">
        <v>526</v>
      </c>
      <c r="L171" s="13" t="s">
        <v>527</v>
      </c>
      <c r="M171" s="13" t="s">
        <v>7</v>
      </c>
      <c r="N171" s="13" t="s">
        <v>48</v>
      </c>
    </row>
    <row r="172" spans="1:14" ht="26.1">
      <c r="A172" s="13" t="s">
        <v>534</v>
      </c>
      <c r="B172" s="13" t="s">
        <v>60</v>
      </c>
      <c r="C172" s="14" t="s">
        <v>535</v>
      </c>
      <c r="D172" s="13" t="s">
        <v>536</v>
      </c>
      <c r="E172" s="13" t="s">
        <v>56</v>
      </c>
      <c r="F172" s="13" t="s">
        <v>537</v>
      </c>
      <c r="G172" s="14" t="s">
        <v>538</v>
      </c>
      <c r="H172" s="13" t="s">
        <v>15</v>
      </c>
      <c r="I172" s="13" t="s">
        <v>14</v>
      </c>
      <c r="J172" s="13" t="s">
        <v>67</v>
      </c>
      <c r="K172" s="14" t="s">
        <v>539</v>
      </c>
      <c r="L172" s="13" t="s">
        <v>47</v>
      </c>
      <c r="M172" s="13" t="s">
        <v>7</v>
      </c>
      <c r="N172" s="13" t="s">
        <v>48</v>
      </c>
    </row>
    <row r="173" spans="1:14" ht="26.1">
      <c r="A173" s="13" t="s">
        <v>540</v>
      </c>
      <c r="B173" s="13" t="s">
        <v>70</v>
      </c>
      <c r="C173" s="14" t="s">
        <v>541</v>
      </c>
      <c r="D173" s="13" t="s">
        <v>542</v>
      </c>
      <c r="E173" s="13" t="s">
        <v>56</v>
      </c>
      <c r="F173" s="13" t="s">
        <v>543</v>
      </c>
      <c r="G173" s="14" t="s">
        <v>72</v>
      </c>
      <c r="H173" s="13" t="s">
        <v>17</v>
      </c>
      <c r="I173" s="13" t="s">
        <v>16</v>
      </c>
      <c r="J173" s="13" t="s">
        <v>73</v>
      </c>
      <c r="K173" s="14" t="s">
        <v>74</v>
      </c>
      <c r="L173" s="13" t="s">
        <v>47</v>
      </c>
      <c r="M173" s="13" t="s">
        <v>7</v>
      </c>
      <c r="N173" s="13" t="s">
        <v>48</v>
      </c>
    </row>
    <row r="174" spans="1:14" ht="26.1">
      <c r="A174" s="13" t="s">
        <v>544</v>
      </c>
      <c r="B174" s="13" t="s">
        <v>297</v>
      </c>
      <c r="C174" s="14" t="s">
        <v>545</v>
      </c>
      <c r="D174" s="13" t="s">
        <v>546</v>
      </c>
      <c r="E174" s="13" t="s">
        <v>56</v>
      </c>
      <c r="F174" s="13" t="s">
        <v>547</v>
      </c>
      <c r="G174" s="14" t="s">
        <v>368</v>
      </c>
      <c r="H174" s="13" t="s">
        <v>17</v>
      </c>
      <c r="I174" s="13" t="s">
        <v>16</v>
      </c>
      <c r="J174" s="13" t="s">
        <v>300</v>
      </c>
      <c r="K174" s="14" t="s">
        <v>369</v>
      </c>
      <c r="L174" s="13" t="s">
        <v>47</v>
      </c>
      <c r="M174" s="13" t="s">
        <v>7</v>
      </c>
      <c r="N174" s="13" t="s">
        <v>48</v>
      </c>
    </row>
    <row r="175" spans="1:14">
      <c r="A175" s="13" t="s">
        <v>548</v>
      </c>
      <c r="B175" s="13" t="s">
        <v>60</v>
      </c>
      <c r="C175" s="14" t="s">
        <v>549</v>
      </c>
      <c r="D175" s="13" t="s">
        <v>42</v>
      </c>
      <c r="E175" s="13" t="s">
        <v>56</v>
      </c>
      <c r="F175" s="13" t="s">
        <v>537</v>
      </c>
      <c r="G175" s="14" t="s">
        <v>525</v>
      </c>
      <c r="H175" s="13" t="s">
        <v>21</v>
      </c>
      <c r="I175" s="13" t="s">
        <v>18</v>
      </c>
      <c r="J175" s="13" t="s">
        <v>428</v>
      </c>
      <c r="K175" s="14" t="s">
        <v>526</v>
      </c>
      <c r="L175" s="13" t="s">
        <v>527</v>
      </c>
      <c r="M175" s="13" t="s">
        <v>7</v>
      </c>
      <c r="N175" s="13" t="s">
        <v>48</v>
      </c>
    </row>
    <row r="176" spans="1:14">
      <c r="A176" s="13" t="s">
        <v>550</v>
      </c>
      <c r="B176" s="13" t="s">
        <v>60</v>
      </c>
      <c r="C176" s="14" t="s">
        <v>551</v>
      </c>
      <c r="D176" s="13" t="s">
        <v>42</v>
      </c>
      <c r="E176" s="13" t="s">
        <v>56</v>
      </c>
      <c r="F176" s="13" t="s">
        <v>537</v>
      </c>
      <c r="G176" s="14" t="s">
        <v>525</v>
      </c>
      <c r="H176" s="13" t="s">
        <v>21</v>
      </c>
      <c r="I176" s="13" t="s">
        <v>18</v>
      </c>
      <c r="J176" s="13" t="s">
        <v>428</v>
      </c>
      <c r="K176" s="14" t="s">
        <v>526</v>
      </c>
      <c r="L176" s="13" t="s">
        <v>527</v>
      </c>
      <c r="M176" s="13" t="s">
        <v>7</v>
      </c>
      <c r="N176" s="13" t="s">
        <v>48</v>
      </c>
    </row>
    <row r="177" spans="1:14">
      <c r="A177" s="13" t="s">
        <v>552</v>
      </c>
      <c r="B177" s="13" t="s">
        <v>60</v>
      </c>
      <c r="C177" s="14" t="s">
        <v>553</v>
      </c>
      <c r="D177" s="13" t="s">
        <v>42</v>
      </c>
      <c r="E177" s="13" t="s">
        <v>56</v>
      </c>
      <c r="F177" s="13" t="s">
        <v>537</v>
      </c>
      <c r="G177" s="14" t="s">
        <v>525</v>
      </c>
      <c r="H177" s="13" t="s">
        <v>21</v>
      </c>
      <c r="I177" s="13" t="s">
        <v>18</v>
      </c>
      <c r="J177" s="13" t="s">
        <v>428</v>
      </c>
      <c r="K177" s="14" t="s">
        <v>526</v>
      </c>
      <c r="L177" s="13" t="s">
        <v>527</v>
      </c>
      <c r="M177" s="13" t="s">
        <v>7</v>
      </c>
      <c r="N177" s="13" t="s">
        <v>48</v>
      </c>
    </row>
    <row r="178" spans="1:14" ht="26.1">
      <c r="A178" s="13" t="s">
        <v>554</v>
      </c>
      <c r="B178" s="13" t="s">
        <v>60</v>
      </c>
      <c r="C178" s="14" t="s">
        <v>555</v>
      </c>
      <c r="D178" s="13" t="s">
        <v>42</v>
      </c>
      <c r="E178" s="13" t="s">
        <v>56</v>
      </c>
      <c r="F178" s="13" t="s">
        <v>537</v>
      </c>
      <c r="G178" s="14" t="s">
        <v>525</v>
      </c>
      <c r="H178" s="13" t="s">
        <v>21</v>
      </c>
      <c r="I178" s="13" t="s">
        <v>18</v>
      </c>
      <c r="J178" s="13" t="s">
        <v>428</v>
      </c>
      <c r="K178" s="14" t="s">
        <v>526</v>
      </c>
      <c r="L178" s="13" t="s">
        <v>527</v>
      </c>
      <c r="M178" s="13" t="s">
        <v>7</v>
      </c>
      <c r="N178" s="13" t="s">
        <v>48</v>
      </c>
    </row>
    <row r="179" spans="1:14">
      <c r="A179" s="13" t="s">
        <v>556</v>
      </c>
      <c r="B179" s="13" t="s">
        <v>60</v>
      </c>
      <c r="C179" s="14" t="s">
        <v>557</v>
      </c>
      <c r="D179" s="13" t="s">
        <v>42</v>
      </c>
      <c r="E179" s="13" t="s">
        <v>56</v>
      </c>
      <c r="F179" s="13" t="s">
        <v>537</v>
      </c>
      <c r="G179" s="14" t="s">
        <v>525</v>
      </c>
      <c r="H179" s="13" t="s">
        <v>21</v>
      </c>
      <c r="I179" s="13" t="s">
        <v>18</v>
      </c>
      <c r="J179" s="13" t="s">
        <v>428</v>
      </c>
      <c r="K179" s="14" t="s">
        <v>526</v>
      </c>
      <c r="L179" s="13" t="s">
        <v>527</v>
      </c>
      <c r="M179" s="13" t="s">
        <v>7</v>
      </c>
      <c r="N179" s="13" t="s">
        <v>48</v>
      </c>
    </row>
    <row r="180" spans="1:14">
      <c r="A180" s="13" t="s">
        <v>558</v>
      </c>
      <c r="B180" s="13" t="s">
        <v>60</v>
      </c>
      <c r="C180" s="14" t="s">
        <v>559</v>
      </c>
      <c r="D180" s="13" t="s">
        <v>42</v>
      </c>
      <c r="E180" s="13" t="s">
        <v>56</v>
      </c>
      <c r="F180" s="13" t="s">
        <v>537</v>
      </c>
      <c r="G180" s="14" t="s">
        <v>525</v>
      </c>
      <c r="H180" s="13" t="s">
        <v>21</v>
      </c>
      <c r="I180" s="13" t="s">
        <v>18</v>
      </c>
      <c r="J180" s="13" t="s">
        <v>428</v>
      </c>
      <c r="K180" s="14" t="s">
        <v>526</v>
      </c>
      <c r="L180" s="13" t="s">
        <v>527</v>
      </c>
      <c r="M180" s="13" t="s">
        <v>7</v>
      </c>
      <c r="N180" s="13" t="s">
        <v>48</v>
      </c>
    </row>
    <row r="181" spans="1:14">
      <c r="A181" s="13" t="s">
        <v>560</v>
      </c>
      <c r="B181" s="13" t="s">
        <v>60</v>
      </c>
      <c r="C181" s="14" t="s">
        <v>561</v>
      </c>
      <c r="D181" s="13" t="s">
        <v>42</v>
      </c>
      <c r="E181" s="13" t="s">
        <v>56</v>
      </c>
      <c r="F181" s="13" t="s">
        <v>537</v>
      </c>
      <c r="G181" s="14" t="s">
        <v>525</v>
      </c>
      <c r="H181" s="13" t="s">
        <v>21</v>
      </c>
      <c r="I181" s="13" t="s">
        <v>18</v>
      </c>
      <c r="J181" s="13" t="s">
        <v>428</v>
      </c>
      <c r="K181" s="14" t="s">
        <v>526</v>
      </c>
      <c r="L181" s="13" t="s">
        <v>527</v>
      </c>
      <c r="M181" s="13" t="s">
        <v>7</v>
      </c>
      <c r="N181" s="13" t="s">
        <v>48</v>
      </c>
    </row>
    <row r="182" spans="1:14">
      <c r="A182" s="13" t="s">
        <v>562</v>
      </c>
      <c r="B182" s="13" t="s">
        <v>60</v>
      </c>
      <c r="C182" s="14" t="s">
        <v>563</v>
      </c>
      <c r="D182" s="13" t="s">
        <v>42</v>
      </c>
      <c r="E182" s="13" t="s">
        <v>56</v>
      </c>
      <c r="F182" s="13" t="s">
        <v>537</v>
      </c>
      <c r="G182" s="14" t="s">
        <v>525</v>
      </c>
      <c r="H182" s="13" t="s">
        <v>21</v>
      </c>
      <c r="I182" s="13" t="s">
        <v>18</v>
      </c>
      <c r="J182" s="13" t="s">
        <v>428</v>
      </c>
      <c r="K182" s="14" t="s">
        <v>526</v>
      </c>
      <c r="L182" s="13" t="s">
        <v>527</v>
      </c>
      <c r="M182" s="13" t="s">
        <v>7</v>
      </c>
      <c r="N182" s="13" t="s">
        <v>48</v>
      </c>
    </row>
    <row r="183" spans="1:14">
      <c r="A183" s="13" t="s">
        <v>564</v>
      </c>
      <c r="B183" s="13" t="s">
        <v>60</v>
      </c>
      <c r="C183" s="14" t="s">
        <v>565</v>
      </c>
      <c r="D183" s="13" t="s">
        <v>42</v>
      </c>
      <c r="E183" s="13" t="s">
        <v>56</v>
      </c>
      <c r="F183" s="13" t="s">
        <v>537</v>
      </c>
      <c r="G183" s="14" t="s">
        <v>525</v>
      </c>
      <c r="H183" s="13" t="s">
        <v>21</v>
      </c>
      <c r="I183" s="13" t="s">
        <v>18</v>
      </c>
      <c r="J183" s="13" t="s">
        <v>428</v>
      </c>
      <c r="K183" s="14" t="s">
        <v>526</v>
      </c>
      <c r="L183" s="13" t="s">
        <v>527</v>
      </c>
      <c r="M183" s="13" t="s">
        <v>7</v>
      </c>
      <c r="N183" s="13" t="s">
        <v>48</v>
      </c>
    </row>
    <row r="184" spans="1:14" ht="26.1">
      <c r="A184" s="13" t="s">
        <v>566</v>
      </c>
      <c r="B184" s="13" t="s">
        <v>60</v>
      </c>
      <c r="C184" s="14" t="s">
        <v>567</v>
      </c>
      <c r="D184" s="13" t="s">
        <v>42</v>
      </c>
      <c r="E184" s="13" t="s">
        <v>56</v>
      </c>
      <c r="F184" s="13" t="s">
        <v>537</v>
      </c>
      <c r="G184" s="14" t="s">
        <v>525</v>
      </c>
      <c r="H184" s="13" t="s">
        <v>21</v>
      </c>
      <c r="I184" s="13" t="s">
        <v>18</v>
      </c>
      <c r="J184" s="13" t="s">
        <v>428</v>
      </c>
      <c r="K184" s="14" t="s">
        <v>526</v>
      </c>
      <c r="L184" s="13" t="s">
        <v>527</v>
      </c>
      <c r="M184" s="13" t="s">
        <v>7</v>
      </c>
      <c r="N184" s="13" t="s">
        <v>48</v>
      </c>
    </row>
    <row r="185" spans="1:14">
      <c r="A185" s="13" t="s">
        <v>568</v>
      </c>
      <c r="B185" s="13" t="s">
        <v>70</v>
      </c>
      <c r="C185" s="14" t="s">
        <v>569</v>
      </c>
      <c r="D185" s="13" t="s">
        <v>42</v>
      </c>
      <c r="E185" s="13" t="s">
        <v>56</v>
      </c>
      <c r="F185" s="13" t="s">
        <v>543</v>
      </c>
      <c r="G185" s="14" t="s">
        <v>525</v>
      </c>
      <c r="H185" s="13" t="s">
        <v>21</v>
      </c>
      <c r="I185" s="13" t="s">
        <v>18</v>
      </c>
      <c r="J185" s="13" t="s">
        <v>428</v>
      </c>
      <c r="K185" s="14" t="s">
        <v>526</v>
      </c>
      <c r="L185" s="13" t="s">
        <v>527</v>
      </c>
      <c r="M185" s="13" t="s">
        <v>7</v>
      </c>
      <c r="N185" s="13" t="s">
        <v>48</v>
      </c>
    </row>
    <row r="186" spans="1:14">
      <c r="A186" s="13" t="s">
        <v>570</v>
      </c>
      <c r="B186" s="13" t="s">
        <v>70</v>
      </c>
      <c r="C186" s="14" t="s">
        <v>571</v>
      </c>
      <c r="D186" s="13" t="s">
        <v>42</v>
      </c>
      <c r="E186" s="13" t="s">
        <v>56</v>
      </c>
      <c r="F186" s="13" t="s">
        <v>543</v>
      </c>
      <c r="G186" s="14" t="s">
        <v>525</v>
      </c>
      <c r="H186" s="13" t="s">
        <v>21</v>
      </c>
      <c r="I186" s="13" t="s">
        <v>18</v>
      </c>
      <c r="J186" s="13" t="s">
        <v>428</v>
      </c>
      <c r="K186" s="14" t="s">
        <v>526</v>
      </c>
      <c r="L186" s="13" t="s">
        <v>527</v>
      </c>
      <c r="M186" s="13" t="s">
        <v>7</v>
      </c>
      <c r="N186" s="13" t="s">
        <v>48</v>
      </c>
    </row>
    <row r="187" spans="1:14" ht="26.1">
      <c r="A187" s="13" t="s">
        <v>572</v>
      </c>
      <c r="B187" s="13" t="s">
        <v>70</v>
      </c>
      <c r="C187" s="14" t="s">
        <v>573</v>
      </c>
      <c r="D187" s="13" t="s">
        <v>42</v>
      </c>
      <c r="E187" s="13" t="s">
        <v>56</v>
      </c>
      <c r="F187" s="13" t="s">
        <v>543</v>
      </c>
      <c r="G187" s="14" t="s">
        <v>525</v>
      </c>
      <c r="H187" s="13" t="s">
        <v>21</v>
      </c>
      <c r="I187" s="13" t="s">
        <v>18</v>
      </c>
      <c r="J187" s="13" t="s">
        <v>428</v>
      </c>
      <c r="K187" s="14" t="s">
        <v>526</v>
      </c>
      <c r="L187" s="13" t="s">
        <v>527</v>
      </c>
      <c r="M187" s="13" t="s">
        <v>7</v>
      </c>
      <c r="N187" s="13" t="s">
        <v>48</v>
      </c>
    </row>
    <row r="188" spans="1:14">
      <c r="A188" s="13" t="s">
        <v>574</v>
      </c>
      <c r="B188" s="13" t="s">
        <v>70</v>
      </c>
      <c r="C188" s="14" t="s">
        <v>575</v>
      </c>
      <c r="D188" s="13" t="s">
        <v>42</v>
      </c>
      <c r="E188" s="13" t="s">
        <v>56</v>
      </c>
      <c r="F188" s="13" t="s">
        <v>543</v>
      </c>
      <c r="G188" s="14" t="s">
        <v>525</v>
      </c>
      <c r="H188" s="13" t="s">
        <v>21</v>
      </c>
      <c r="I188" s="13" t="s">
        <v>18</v>
      </c>
      <c r="J188" s="13" t="s">
        <v>428</v>
      </c>
      <c r="K188" s="14" t="s">
        <v>526</v>
      </c>
      <c r="L188" s="13" t="s">
        <v>527</v>
      </c>
      <c r="M188" s="13" t="s">
        <v>7</v>
      </c>
      <c r="N188" s="13" t="s">
        <v>48</v>
      </c>
    </row>
    <row r="189" spans="1:14">
      <c r="A189" s="13" t="s">
        <v>576</v>
      </c>
      <c r="B189" s="13" t="s">
        <v>297</v>
      </c>
      <c r="C189" s="14" t="s">
        <v>577</v>
      </c>
      <c r="D189" s="13" t="s">
        <v>42</v>
      </c>
      <c r="E189" s="13" t="s">
        <v>56</v>
      </c>
      <c r="F189" s="13" t="s">
        <v>547</v>
      </c>
      <c r="G189" s="14" t="s">
        <v>525</v>
      </c>
      <c r="H189" s="13" t="s">
        <v>21</v>
      </c>
      <c r="I189" s="13" t="s">
        <v>18</v>
      </c>
      <c r="J189" s="13" t="s">
        <v>428</v>
      </c>
      <c r="K189" s="14" t="s">
        <v>526</v>
      </c>
      <c r="L189" s="13" t="s">
        <v>527</v>
      </c>
      <c r="M189" s="13" t="s">
        <v>7</v>
      </c>
      <c r="N189" s="13" t="s">
        <v>48</v>
      </c>
    </row>
  </sheetData>
  <mergeCells count="2">
    <mergeCell ref="A1:N1"/>
    <mergeCell ref="A2:N2"/>
  </mergeCells>
  <conditionalFormatting sqref="H4:H189">
    <cfRule type="containsText" dxfId="23" priority="1" operator="containsText" text="Direct"/>
    <cfRule type="containsText" dxfId="22" priority="2" operator="containsText" text="Partial"/>
    <cfRule type="containsText" dxfId="21" priority="3" operator="containsText" text="Extension container"/>
    <cfRule type="containsText" dxfId="20" priority="4" operator="containsText" text="No first-class analog"/>
    <cfRule type="containsText" dxfId="19" priority="5" operator="containsText" text="Platform or manifest"/>
    <cfRule type="containsText" dxfId="18" priority="6" operator="containsText" text="Derived/search-only"/>
  </conditionalFormatting>
  <conditionalFormatting sqref="I4:I189">
    <cfRule type="containsText" dxfId="17" priority="7" operator="containsText" text="High"/>
    <cfRule type="containsText" dxfId="16" priority="8" operator="containsText" text="Medium"/>
    <cfRule type="containsText" dxfId="15" priority="9" operator="containsText" text="Low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2"/>
  <sheetViews>
    <sheetView showGridLines="0" workbookViewId="0"/>
  </sheetViews>
  <sheetFormatPr defaultColWidth="8.875" defaultRowHeight="14.1"/>
  <cols>
    <col min="1" max="1" width="24" customWidth="1"/>
    <col min="2" max="2" width="30" customWidth="1"/>
    <col min="3" max="3" width="48" customWidth="1"/>
    <col min="4" max="4" width="22" customWidth="1"/>
    <col min="5" max="5" width="16" customWidth="1"/>
    <col min="6" max="6" width="13" customWidth="1"/>
    <col min="7" max="7" width="46" customWidth="1"/>
    <col min="8" max="8" width="22" customWidth="1"/>
    <col min="9" max="9" width="12" customWidth="1"/>
    <col min="10" max="10" width="16" customWidth="1"/>
    <col min="11" max="11" width="55" customWidth="1"/>
    <col min="12" max="12" width="24" customWidth="1"/>
    <col min="13" max="13" width="22" customWidth="1"/>
    <col min="14" max="14" width="48" customWidth="1"/>
  </cols>
  <sheetData>
    <row r="1" spans="1:14" ht="33.950000000000003" customHeight="1">
      <c r="A1" s="22" t="s">
        <v>578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33.950000000000003" customHeight="1">
      <c r="A2" s="23" t="s">
        <v>579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30" customHeight="1">
      <c r="A3" s="8" t="s">
        <v>580</v>
      </c>
      <c r="B3" s="9" t="s">
        <v>581</v>
      </c>
      <c r="C3" s="9" t="s">
        <v>28</v>
      </c>
      <c r="D3" s="9" t="s">
        <v>29</v>
      </c>
      <c r="E3" s="9" t="s">
        <v>30</v>
      </c>
      <c r="F3" s="9" t="s">
        <v>582</v>
      </c>
      <c r="G3" s="9" t="s">
        <v>32</v>
      </c>
      <c r="H3" s="9" t="s">
        <v>33</v>
      </c>
      <c r="I3" s="9" t="s">
        <v>34</v>
      </c>
      <c r="J3" s="9" t="s">
        <v>35</v>
      </c>
      <c r="K3" s="9" t="s">
        <v>36</v>
      </c>
      <c r="L3" s="9" t="s">
        <v>37</v>
      </c>
      <c r="M3" s="9" t="s">
        <v>6</v>
      </c>
      <c r="N3" s="10" t="s">
        <v>38</v>
      </c>
    </row>
    <row r="4" spans="1:14">
      <c r="A4" s="13" t="s">
        <v>583</v>
      </c>
      <c r="B4" s="13" t="s">
        <v>584</v>
      </c>
      <c r="C4" s="14" t="s">
        <v>585</v>
      </c>
      <c r="D4" s="13" t="s">
        <v>42</v>
      </c>
      <c r="E4" s="13" t="s">
        <v>43</v>
      </c>
      <c r="F4" s="13"/>
      <c r="G4" s="14" t="s">
        <v>586</v>
      </c>
      <c r="H4" s="13" t="s">
        <v>19</v>
      </c>
      <c r="I4" s="13" t="s">
        <v>16</v>
      </c>
      <c r="J4" s="13" t="s">
        <v>587</v>
      </c>
      <c r="K4" s="14" t="s">
        <v>588</v>
      </c>
      <c r="L4" s="13" t="s">
        <v>47</v>
      </c>
      <c r="M4" s="13" t="s">
        <v>7</v>
      </c>
      <c r="N4" s="13" t="s">
        <v>48</v>
      </c>
    </row>
    <row r="5" spans="1:14">
      <c r="A5" s="13" t="s">
        <v>583</v>
      </c>
      <c r="B5" s="13" t="s">
        <v>589</v>
      </c>
      <c r="C5" s="14" t="s">
        <v>590</v>
      </c>
      <c r="D5" s="13" t="s">
        <v>98</v>
      </c>
      <c r="E5" s="13" t="s">
        <v>56</v>
      </c>
      <c r="F5" s="13"/>
      <c r="G5" s="14" t="s">
        <v>586</v>
      </c>
      <c r="H5" s="13" t="s">
        <v>19</v>
      </c>
      <c r="I5" s="13" t="s">
        <v>16</v>
      </c>
      <c r="J5" s="13" t="s">
        <v>587</v>
      </c>
      <c r="K5" s="14" t="s">
        <v>588</v>
      </c>
      <c r="L5" s="13" t="s">
        <v>47</v>
      </c>
      <c r="M5" s="13" t="s">
        <v>7</v>
      </c>
      <c r="N5" s="13" t="s">
        <v>48</v>
      </c>
    </row>
    <row r="6" spans="1:14">
      <c r="A6" s="13" t="s">
        <v>583</v>
      </c>
      <c r="B6" s="13" t="s">
        <v>591</v>
      </c>
      <c r="C6" s="14" t="s">
        <v>592</v>
      </c>
      <c r="D6" s="13" t="s">
        <v>42</v>
      </c>
      <c r="E6" s="13" t="s">
        <v>593</v>
      </c>
      <c r="F6" s="13"/>
      <c r="G6" s="14" t="s">
        <v>594</v>
      </c>
      <c r="H6" s="13" t="s">
        <v>13</v>
      </c>
      <c r="I6" s="13" t="s">
        <v>18</v>
      </c>
      <c r="J6" s="13" t="s">
        <v>67</v>
      </c>
      <c r="K6" s="14" t="s">
        <v>595</v>
      </c>
      <c r="L6" s="13" t="s">
        <v>47</v>
      </c>
      <c r="M6" s="13" t="s">
        <v>7</v>
      </c>
      <c r="N6" s="13" t="s">
        <v>48</v>
      </c>
    </row>
    <row r="7" spans="1:14">
      <c r="A7" s="13" t="s">
        <v>583</v>
      </c>
      <c r="B7" s="13" t="s">
        <v>596</v>
      </c>
      <c r="C7" s="14" t="s">
        <v>597</v>
      </c>
      <c r="D7" s="13" t="s">
        <v>42</v>
      </c>
      <c r="E7" s="13" t="s">
        <v>43</v>
      </c>
      <c r="F7" s="13"/>
      <c r="G7" s="14" t="s">
        <v>598</v>
      </c>
      <c r="H7" s="13" t="s">
        <v>15</v>
      </c>
      <c r="I7" s="13" t="s">
        <v>16</v>
      </c>
      <c r="J7" s="13" t="s">
        <v>67</v>
      </c>
      <c r="K7" s="14" t="s">
        <v>599</v>
      </c>
      <c r="L7" s="13" t="s">
        <v>47</v>
      </c>
      <c r="M7" s="13" t="s">
        <v>7</v>
      </c>
      <c r="N7" s="13" t="s">
        <v>48</v>
      </c>
    </row>
    <row r="8" spans="1:14">
      <c r="A8" s="13" t="s">
        <v>583</v>
      </c>
      <c r="B8" s="13" t="s">
        <v>600</v>
      </c>
      <c r="C8" s="14" t="s">
        <v>601</v>
      </c>
      <c r="D8" s="13" t="s">
        <v>153</v>
      </c>
      <c r="E8" s="13" t="s">
        <v>593</v>
      </c>
      <c r="F8" s="13" t="s">
        <v>602</v>
      </c>
      <c r="G8" s="14" t="s">
        <v>603</v>
      </c>
      <c r="H8" s="13" t="s">
        <v>13</v>
      </c>
      <c r="I8" s="13" t="s">
        <v>18</v>
      </c>
      <c r="J8" s="13" t="s">
        <v>67</v>
      </c>
      <c r="K8" s="14" t="s">
        <v>604</v>
      </c>
      <c r="L8" s="13" t="s">
        <v>47</v>
      </c>
      <c r="M8" s="13" t="s">
        <v>7</v>
      </c>
      <c r="N8" s="13" t="s">
        <v>48</v>
      </c>
    </row>
    <row r="9" spans="1:14" ht="26.1">
      <c r="A9" s="13" t="s">
        <v>583</v>
      </c>
      <c r="B9" s="13" t="s">
        <v>605</v>
      </c>
      <c r="C9" s="14" t="s">
        <v>606</v>
      </c>
      <c r="D9" s="13" t="s">
        <v>42</v>
      </c>
      <c r="E9" s="13" t="s">
        <v>56</v>
      </c>
      <c r="F9" s="13"/>
      <c r="G9" s="14" t="s">
        <v>607</v>
      </c>
      <c r="H9" s="13" t="s">
        <v>15</v>
      </c>
      <c r="I9" s="13" t="s">
        <v>16</v>
      </c>
      <c r="J9" s="13" t="s">
        <v>67</v>
      </c>
      <c r="K9" s="14" t="s">
        <v>608</v>
      </c>
      <c r="L9" s="13" t="s">
        <v>47</v>
      </c>
      <c r="M9" s="13" t="s">
        <v>7</v>
      </c>
      <c r="N9" s="13" t="s">
        <v>48</v>
      </c>
    </row>
    <row r="10" spans="1:14" ht="26.1">
      <c r="A10" s="13" t="s">
        <v>583</v>
      </c>
      <c r="B10" s="13" t="s">
        <v>139</v>
      </c>
      <c r="C10" s="14" t="s">
        <v>140</v>
      </c>
      <c r="D10" s="13" t="s">
        <v>42</v>
      </c>
      <c r="E10" s="13" t="s">
        <v>56</v>
      </c>
      <c r="F10" s="13"/>
      <c r="G10" s="14" t="s">
        <v>607</v>
      </c>
      <c r="H10" s="13" t="s">
        <v>15</v>
      </c>
      <c r="I10" s="13" t="s">
        <v>16</v>
      </c>
      <c r="J10" s="13" t="s">
        <v>67</v>
      </c>
      <c r="K10" s="14" t="s">
        <v>608</v>
      </c>
      <c r="L10" s="13" t="s">
        <v>47</v>
      </c>
      <c r="M10" s="13" t="s">
        <v>7</v>
      </c>
      <c r="N10" s="13" t="s">
        <v>48</v>
      </c>
    </row>
    <row r="11" spans="1:14" ht="26.1">
      <c r="A11" s="13" t="s">
        <v>583</v>
      </c>
      <c r="B11" s="13" t="s">
        <v>609</v>
      </c>
      <c r="C11" s="14" t="s">
        <v>610</v>
      </c>
      <c r="D11" s="13" t="s">
        <v>42</v>
      </c>
      <c r="E11" s="13" t="s">
        <v>56</v>
      </c>
      <c r="F11" s="13"/>
      <c r="G11" s="14" t="s">
        <v>607</v>
      </c>
      <c r="H11" s="13" t="s">
        <v>15</v>
      </c>
      <c r="I11" s="13" t="s">
        <v>16</v>
      </c>
      <c r="J11" s="13" t="s">
        <v>67</v>
      </c>
      <c r="K11" s="14" t="s">
        <v>608</v>
      </c>
      <c r="L11" s="13" t="s">
        <v>47</v>
      </c>
      <c r="M11" s="13" t="s">
        <v>7</v>
      </c>
      <c r="N11" s="13" t="s">
        <v>48</v>
      </c>
    </row>
    <row r="12" spans="1:14" ht="26.1">
      <c r="A12" s="13" t="s">
        <v>583</v>
      </c>
      <c r="B12" s="13" t="s">
        <v>611</v>
      </c>
      <c r="C12" s="14" t="s">
        <v>612</v>
      </c>
      <c r="D12" s="13" t="s">
        <v>42</v>
      </c>
      <c r="E12" s="13" t="s">
        <v>56</v>
      </c>
      <c r="F12" s="13"/>
      <c r="G12" s="14" t="s">
        <v>607</v>
      </c>
      <c r="H12" s="13" t="s">
        <v>15</v>
      </c>
      <c r="I12" s="13" t="s">
        <v>16</v>
      </c>
      <c r="J12" s="13" t="s">
        <v>67</v>
      </c>
      <c r="K12" s="14" t="s">
        <v>608</v>
      </c>
      <c r="L12" s="13" t="s">
        <v>47</v>
      </c>
      <c r="M12" s="13" t="s">
        <v>7</v>
      </c>
      <c r="N12" s="13" t="s">
        <v>48</v>
      </c>
    </row>
    <row r="13" spans="1:14" ht="26.1">
      <c r="A13" s="13" t="s">
        <v>583</v>
      </c>
      <c r="B13" s="13" t="s">
        <v>613</v>
      </c>
      <c r="C13" s="14" t="s">
        <v>614</v>
      </c>
      <c r="D13" s="13" t="s">
        <v>42</v>
      </c>
      <c r="E13" s="13" t="s">
        <v>56</v>
      </c>
      <c r="F13" s="13"/>
      <c r="G13" s="14" t="s">
        <v>607</v>
      </c>
      <c r="H13" s="13" t="s">
        <v>15</v>
      </c>
      <c r="I13" s="13" t="s">
        <v>16</v>
      </c>
      <c r="J13" s="13" t="s">
        <v>67</v>
      </c>
      <c r="K13" s="14" t="s">
        <v>608</v>
      </c>
      <c r="L13" s="13" t="s">
        <v>47</v>
      </c>
      <c r="M13" s="13" t="s">
        <v>7</v>
      </c>
      <c r="N13" s="13" t="s">
        <v>48</v>
      </c>
    </row>
    <row r="14" spans="1:14">
      <c r="A14" s="13" t="s">
        <v>583</v>
      </c>
      <c r="B14" s="13" t="s">
        <v>615</v>
      </c>
      <c r="C14" s="14" t="s">
        <v>616</v>
      </c>
      <c r="D14" s="13" t="s">
        <v>42</v>
      </c>
      <c r="E14" s="13" t="s">
        <v>56</v>
      </c>
      <c r="F14" s="13"/>
      <c r="G14" s="14" t="s">
        <v>617</v>
      </c>
      <c r="H14" s="13" t="s">
        <v>17</v>
      </c>
      <c r="I14" s="13" t="s">
        <v>16</v>
      </c>
      <c r="J14" s="13" t="s">
        <v>587</v>
      </c>
      <c r="K14" s="14" t="s">
        <v>618</v>
      </c>
      <c r="L14" s="13" t="s">
        <v>47</v>
      </c>
      <c r="M14" s="13" t="s">
        <v>7</v>
      </c>
      <c r="N14" s="13" t="s">
        <v>48</v>
      </c>
    </row>
    <row r="15" spans="1:14">
      <c r="A15" s="13" t="s">
        <v>583</v>
      </c>
      <c r="B15" s="13" t="s">
        <v>619</v>
      </c>
      <c r="C15" s="14" t="s">
        <v>620</v>
      </c>
      <c r="D15" s="13" t="s">
        <v>42</v>
      </c>
      <c r="E15" s="13" t="s">
        <v>56</v>
      </c>
      <c r="F15" s="13"/>
      <c r="G15" s="14" t="s">
        <v>617</v>
      </c>
      <c r="H15" s="13" t="s">
        <v>17</v>
      </c>
      <c r="I15" s="13" t="s">
        <v>16</v>
      </c>
      <c r="J15" s="13" t="s">
        <v>587</v>
      </c>
      <c r="K15" s="14" t="s">
        <v>618</v>
      </c>
      <c r="L15" s="13" t="s">
        <v>47</v>
      </c>
      <c r="M15" s="13" t="s">
        <v>7</v>
      </c>
      <c r="N15" s="13" t="s">
        <v>48</v>
      </c>
    </row>
    <row r="16" spans="1:14">
      <c r="A16" s="13" t="s">
        <v>583</v>
      </c>
      <c r="B16" s="13" t="s">
        <v>621</v>
      </c>
      <c r="C16" s="14" t="s">
        <v>622</v>
      </c>
      <c r="D16" s="13" t="s">
        <v>42</v>
      </c>
      <c r="E16" s="13" t="s">
        <v>56</v>
      </c>
      <c r="F16" s="13"/>
      <c r="G16" s="14" t="s">
        <v>617</v>
      </c>
      <c r="H16" s="13" t="s">
        <v>17</v>
      </c>
      <c r="I16" s="13" t="s">
        <v>16</v>
      </c>
      <c r="J16" s="13" t="s">
        <v>587</v>
      </c>
      <c r="K16" s="14" t="s">
        <v>618</v>
      </c>
      <c r="L16" s="13" t="s">
        <v>47</v>
      </c>
      <c r="M16" s="13" t="s">
        <v>7</v>
      </c>
      <c r="N16" s="13" t="s">
        <v>48</v>
      </c>
    </row>
    <row r="17" spans="1:14">
      <c r="A17" s="13" t="s">
        <v>583</v>
      </c>
      <c r="B17" s="13" t="s">
        <v>623</v>
      </c>
      <c r="C17" s="14" t="s">
        <v>624</v>
      </c>
      <c r="D17" s="13" t="s">
        <v>42</v>
      </c>
      <c r="E17" s="13" t="s">
        <v>56</v>
      </c>
      <c r="F17" s="13"/>
      <c r="G17" s="14" t="s">
        <v>617</v>
      </c>
      <c r="H17" s="13" t="s">
        <v>17</v>
      </c>
      <c r="I17" s="13" t="s">
        <v>16</v>
      </c>
      <c r="J17" s="13" t="s">
        <v>587</v>
      </c>
      <c r="K17" s="14" t="s">
        <v>618</v>
      </c>
      <c r="L17" s="13" t="s">
        <v>47</v>
      </c>
      <c r="M17" s="13" t="s">
        <v>7</v>
      </c>
      <c r="N17" s="13" t="s">
        <v>48</v>
      </c>
    </row>
    <row r="18" spans="1:14">
      <c r="A18" s="13" t="s">
        <v>583</v>
      </c>
      <c r="B18" s="13" t="s">
        <v>625</v>
      </c>
      <c r="C18" s="14" t="s">
        <v>626</v>
      </c>
      <c r="D18" s="13" t="s">
        <v>42</v>
      </c>
      <c r="E18" s="13" t="s">
        <v>56</v>
      </c>
      <c r="F18" s="13"/>
      <c r="G18" s="14" t="s">
        <v>617</v>
      </c>
      <c r="H18" s="13" t="s">
        <v>17</v>
      </c>
      <c r="I18" s="13" t="s">
        <v>16</v>
      </c>
      <c r="J18" s="13" t="s">
        <v>587</v>
      </c>
      <c r="K18" s="14" t="s">
        <v>618</v>
      </c>
      <c r="L18" s="13" t="s">
        <v>47</v>
      </c>
      <c r="M18" s="13" t="s">
        <v>7</v>
      </c>
      <c r="N18" s="13" t="s">
        <v>48</v>
      </c>
    </row>
    <row r="19" spans="1:14">
      <c r="A19" s="13" t="s">
        <v>583</v>
      </c>
      <c r="B19" s="13" t="s">
        <v>627</v>
      </c>
      <c r="C19" s="14" t="s">
        <v>628</v>
      </c>
      <c r="D19" s="13" t="s">
        <v>42</v>
      </c>
      <c r="E19" s="13" t="s">
        <v>56</v>
      </c>
      <c r="F19" s="13"/>
      <c r="G19" s="14" t="s">
        <v>617</v>
      </c>
      <c r="H19" s="13" t="s">
        <v>17</v>
      </c>
      <c r="I19" s="13" t="s">
        <v>16</v>
      </c>
      <c r="J19" s="13" t="s">
        <v>587</v>
      </c>
      <c r="K19" s="14" t="s">
        <v>618</v>
      </c>
      <c r="L19" s="13" t="s">
        <v>47</v>
      </c>
      <c r="M19" s="13" t="s">
        <v>7</v>
      </c>
      <c r="N19" s="13" t="s">
        <v>48</v>
      </c>
    </row>
    <row r="20" spans="1:14">
      <c r="A20" s="13" t="s">
        <v>629</v>
      </c>
      <c r="B20" s="13" t="s">
        <v>124</v>
      </c>
      <c r="C20" s="14" t="s">
        <v>126</v>
      </c>
      <c r="D20" s="13" t="s">
        <v>42</v>
      </c>
      <c r="E20" s="13" t="s">
        <v>56</v>
      </c>
      <c r="F20" s="13"/>
      <c r="G20" s="14" t="s">
        <v>630</v>
      </c>
      <c r="H20" s="13" t="s">
        <v>19</v>
      </c>
      <c r="I20" s="13" t="s">
        <v>14</v>
      </c>
      <c r="J20" s="13" t="s">
        <v>129</v>
      </c>
      <c r="K20" s="14" t="s">
        <v>631</v>
      </c>
      <c r="L20" s="13" t="s">
        <v>47</v>
      </c>
      <c r="M20" s="13" t="s">
        <v>7</v>
      </c>
      <c r="N20" s="13" t="s">
        <v>48</v>
      </c>
    </row>
    <row r="21" spans="1:14">
      <c r="A21" s="13" t="s">
        <v>629</v>
      </c>
      <c r="B21" s="13" t="s">
        <v>137</v>
      </c>
      <c r="C21" s="14" t="s">
        <v>138</v>
      </c>
      <c r="D21" s="13" t="s">
        <v>42</v>
      </c>
      <c r="E21" s="13" t="s">
        <v>56</v>
      </c>
      <c r="F21" s="13"/>
      <c r="G21" s="14" t="s">
        <v>630</v>
      </c>
      <c r="H21" s="13" t="s">
        <v>19</v>
      </c>
      <c r="I21" s="13" t="s">
        <v>14</v>
      </c>
      <c r="J21" s="13" t="s">
        <v>129</v>
      </c>
      <c r="K21" s="14" t="s">
        <v>631</v>
      </c>
      <c r="L21" s="13" t="s">
        <v>47</v>
      </c>
      <c r="M21" s="13" t="s">
        <v>7</v>
      </c>
      <c r="N21" s="13" t="s">
        <v>48</v>
      </c>
    </row>
    <row r="22" spans="1:14" ht="26.1">
      <c r="A22" s="13" t="s">
        <v>629</v>
      </c>
      <c r="B22" s="13" t="s">
        <v>611</v>
      </c>
      <c r="C22" s="14" t="s">
        <v>612</v>
      </c>
      <c r="D22" s="13" t="s">
        <v>42</v>
      </c>
      <c r="E22" s="13" t="s">
        <v>56</v>
      </c>
      <c r="F22" s="13"/>
      <c r="G22" s="14" t="s">
        <v>632</v>
      </c>
      <c r="H22" s="13" t="s">
        <v>15</v>
      </c>
      <c r="I22" s="13" t="s">
        <v>16</v>
      </c>
      <c r="J22" s="13" t="s">
        <v>633</v>
      </c>
      <c r="K22" s="14" t="s">
        <v>634</v>
      </c>
      <c r="L22" s="13" t="s">
        <v>47</v>
      </c>
      <c r="M22" s="13" t="s">
        <v>7</v>
      </c>
      <c r="N22" s="13" t="s">
        <v>48</v>
      </c>
    </row>
    <row r="23" spans="1:14" ht="26.1">
      <c r="A23" s="13" t="s">
        <v>629</v>
      </c>
      <c r="B23" s="13" t="s">
        <v>609</v>
      </c>
      <c r="C23" s="14" t="s">
        <v>610</v>
      </c>
      <c r="D23" s="13" t="s">
        <v>42</v>
      </c>
      <c r="E23" s="13" t="s">
        <v>56</v>
      </c>
      <c r="F23" s="13"/>
      <c r="G23" s="14" t="s">
        <v>632</v>
      </c>
      <c r="H23" s="13" t="s">
        <v>15</v>
      </c>
      <c r="I23" s="13" t="s">
        <v>16</v>
      </c>
      <c r="J23" s="13" t="s">
        <v>633</v>
      </c>
      <c r="K23" s="14" t="s">
        <v>634</v>
      </c>
      <c r="L23" s="13" t="s">
        <v>47</v>
      </c>
      <c r="M23" s="13" t="s">
        <v>7</v>
      </c>
      <c r="N23" s="13" t="s">
        <v>48</v>
      </c>
    </row>
    <row r="24" spans="1:14" ht="26.1">
      <c r="A24" s="13" t="s">
        <v>629</v>
      </c>
      <c r="B24" s="13" t="s">
        <v>139</v>
      </c>
      <c r="C24" s="14" t="s">
        <v>140</v>
      </c>
      <c r="D24" s="13" t="s">
        <v>42</v>
      </c>
      <c r="E24" s="13" t="s">
        <v>56</v>
      </c>
      <c r="F24" s="13"/>
      <c r="G24" s="14" t="s">
        <v>632</v>
      </c>
      <c r="H24" s="13" t="s">
        <v>15</v>
      </c>
      <c r="I24" s="13" t="s">
        <v>16</v>
      </c>
      <c r="J24" s="13" t="s">
        <v>633</v>
      </c>
      <c r="K24" s="14" t="s">
        <v>634</v>
      </c>
      <c r="L24" s="13" t="s">
        <v>47</v>
      </c>
      <c r="M24" s="13" t="s">
        <v>7</v>
      </c>
      <c r="N24" s="13" t="s">
        <v>48</v>
      </c>
    </row>
    <row r="25" spans="1:14" ht="26.1">
      <c r="A25" s="13" t="s">
        <v>629</v>
      </c>
      <c r="B25" s="13" t="s">
        <v>635</v>
      </c>
      <c r="C25" s="14" t="s">
        <v>636</v>
      </c>
      <c r="D25" s="13" t="s">
        <v>42</v>
      </c>
      <c r="E25" s="13" t="s">
        <v>56</v>
      </c>
      <c r="F25" s="13"/>
      <c r="G25" s="14" t="s">
        <v>632</v>
      </c>
      <c r="H25" s="13" t="s">
        <v>15</v>
      </c>
      <c r="I25" s="13" t="s">
        <v>16</v>
      </c>
      <c r="J25" s="13" t="s">
        <v>633</v>
      </c>
      <c r="K25" s="14" t="s">
        <v>634</v>
      </c>
      <c r="L25" s="13" t="s">
        <v>47</v>
      </c>
      <c r="M25" s="13" t="s">
        <v>7</v>
      </c>
      <c r="N25" s="13" t="s">
        <v>48</v>
      </c>
    </row>
    <row r="26" spans="1:14" ht="26.1">
      <c r="A26" s="13" t="s">
        <v>629</v>
      </c>
      <c r="B26" s="13" t="s">
        <v>637</v>
      </c>
      <c r="C26" s="14" t="s">
        <v>638</v>
      </c>
      <c r="D26" s="13" t="s">
        <v>42</v>
      </c>
      <c r="E26" s="13" t="s">
        <v>56</v>
      </c>
      <c r="F26" s="13"/>
      <c r="G26" s="14" t="s">
        <v>639</v>
      </c>
      <c r="H26" s="13" t="s">
        <v>19</v>
      </c>
      <c r="I26" s="13" t="s">
        <v>16</v>
      </c>
      <c r="J26" s="13" t="s">
        <v>640</v>
      </c>
      <c r="K26" s="14" t="s">
        <v>641</v>
      </c>
      <c r="L26" s="13" t="s">
        <v>47</v>
      </c>
      <c r="M26" s="13" t="s">
        <v>7</v>
      </c>
      <c r="N26" s="13" t="s">
        <v>48</v>
      </c>
    </row>
    <row r="27" spans="1:14" ht="26.1">
      <c r="A27" s="13" t="s">
        <v>629</v>
      </c>
      <c r="B27" s="13" t="s">
        <v>615</v>
      </c>
      <c r="C27" s="14" t="s">
        <v>616</v>
      </c>
      <c r="D27" s="13" t="s">
        <v>42</v>
      </c>
      <c r="E27" s="13" t="s">
        <v>56</v>
      </c>
      <c r="F27" s="13"/>
      <c r="G27" s="14" t="s">
        <v>639</v>
      </c>
      <c r="H27" s="13" t="s">
        <v>19</v>
      </c>
      <c r="I27" s="13" t="s">
        <v>16</v>
      </c>
      <c r="J27" s="13" t="s">
        <v>640</v>
      </c>
      <c r="K27" s="14" t="s">
        <v>641</v>
      </c>
      <c r="L27" s="13" t="s">
        <v>47</v>
      </c>
      <c r="M27" s="13" t="s">
        <v>7</v>
      </c>
      <c r="N27" s="13" t="s">
        <v>48</v>
      </c>
    </row>
    <row r="28" spans="1:14" ht="26.1">
      <c r="A28" s="13" t="s">
        <v>629</v>
      </c>
      <c r="B28" s="13" t="s">
        <v>642</v>
      </c>
      <c r="C28" s="14" t="s">
        <v>643</v>
      </c>
      <c r="D28" s="13" t="s">
        <v>42</v>
      </c>
      <c r="E28" s="13" t="s">
        <v>56</v>
      </c>
      <c r="F28" s="13"/>
      <c r="G28" s="14" t="s">
        <v>639</v>
      </c>
      <c r="H28" s="13" t="s">
        <v>19</v>
      </c>
      <c r="I28" s="13" t="s">
        <v>16</v>
      </c>
      <c r="J28" s="13" t="s">
        <v>640</v>
      </c>
      <c r="K28" s="14" t="s">
        <v>641</v>
      </c>
      <c r="L28" s="13" t="s">
        <v>47</v>
      </c>
      <c r="M28" s="13" t="s">
        <v>7</v>
      </c>
      <c r="N28" s="13" t="s">
        <v>48</v>
      </c>
    </row>
    <row r="29" spans="1:14">
      <c r="A29" s="13" t="s">
        <v>644</v>
      </c>
      <c r="B29" s="13" t="s">
        <v>645</v>
      </c>
      <c r="C29" s="14" t="s">
        <v>646</v>
      </c>
      <c r="D29" s="13" t="s">
        <v>98</v>
      </c>
      <c r="E29" s="13" t="s">
        <v>56</v>
      </c>
      <c r="F29" s="13"/>
      <c r="G29" s="14" t="s">
        <v>647</v>
      </c>
      <c r="H29" s="13" t="s">
        <v>19</v>
      </c>
      <c r="I29" s="13" t="s">
        <v>18</v>
      </c>
      <c r="J29" s="13" t="s">
        <v>428</v>
      </c>
      <c r="K29" s="14" t="s">
        <v>648</v>
      </c>
      <c r="L29" s="13" t="s">
        <v>47</v>
      </c>
      <c r="M29" s="13" t="s">
        <v>7</v>
      </c>
      <c r="N29" s="13" t="s">
        <v>48</v>
      </c>
    </row>
    <row r="30" spans="1:14">
      <c r="A30" s="13" t="s">
        <v>644</v>
      </c>
      <c r="B30" s="13" t="s">
        <v>649</v>
      </c>
      <c r="C30" s="14" t="s">
        <v>650</v>
      </c>
      <c r="D30" s="13" t="s">
        <v>42</v>
      </c>
      <c r="E30" s="13" t="s">
        <v>127</v>
      </c>
      <c r="F30" s="13"/>
      <c r="G30" s="14" t="s">
        <v>651</v>
      </c>
      <c r="H30" s="13" t="s">
        <v>13</v>
      </c>
      <c r="I30" s="13" t="s">
        <v>18</v>
      </c>
      <c r="J30" s="13" t="s">
        <v>73</v>
      </c>
      <c r="K30" s="14" t="s">
        <v>652</v>
      </c>
      <c r="L30" s="13" t="s">
        <v>47</v>
      </c>
      <c r="M30" s="13" t="s">
        <v>7</v>
      </c>
      <c r="N30" s="13" t="s">
        <v>48</v>
      </c>
    </row>
    <row r="31" spans="1:14" ht="26.1">
      <c r="A31" s="13" t="s">
        <v>644</v>
      </c>
      <c r="B31" s="13" t="s">
        <v>653</v>
      </c>
      <c r="C31" s="14" t="s">
        <v>654</v>
      </c>
      <c r="D31" s="13" t="s">
        <v>42</v>
      </c>
      <c r="E31" s="13" t="s">
        <v>127</v>
      </c>
      <c r="F31" s="13"/>
      <c r="G31" s="14" t="s">
        <v>655</v>
      </c>
      <c r="H31" s="13" t="s">
        <v>17</v>
      </c>
      <c r="I31" s="13" t="s">
        <v>16</v>
      </c>
      <c r="J31" s="13" t="s">
        <v>73</v>
      </c>
      <c r="K31" s="14" t="s">
        <v>656</v>
      </c>
      <c r="L31" s="13" t="s">
        <v>47</v>
      </c>
      <c r="M31" s="13" t="s">
        <v>7</v>
      </c>
      <c r="N31" s="13" t="s">
        <v>48</v>
      </c>
    </row>
    <row r="32" spans="1:14" ht="26.1">
      <c r="A32" s="13" t="s">
        <v>644</v>
      </c>
      <c r="B32" s="13" t="s">
        <v>657</v>
      </c>
      <c r="C32" s="14" t="s">
        <v>658</v>
      </c>
      <c r="D32" s="13" t="s">
        <v>153</v>
      </c>
      <c r="E32" s="13" t="s">
        <v>56</v>
      </c>
      <c r="F32" s="13"/>
      <c r="G32" s="14" t="s">
        <v>655</v>
      </c>
      <c r="H32" s="13" t="s">
        <v>17</v>
      </c>
      <c r="I32" s="13" t="s">
        <v>16</v>
      </c>
      <c r="J32" s="13" t="s">
        <v>73</v>
      </c>
      <c r="K32" s="14" t="s">
        <v>656</v>
      </c>
      <c r="L32" s="13" t="s">
        <v>47</v>
      </c>
      <c r="M32" s="13" t="s">
        <v>7</v>
      </c>
      <c r="N32" s="13" t="s">
        <v>48</v>
      </c>
    </row>
    <row r="33" spans="1:14" ht="26.1">
      <c r="A33" s="13" t="s">
        <v>644</v>
      </c>
      <c r="B33" s="13" t="s">
        <v>659</v>
      </c>
      <c r="C33" s="14" t="s">
        <v>660</v>
      </c>
      <c r="D33" s="13" t="s">
        <v>42</v>
      </c>
      <c r="E33" s="13" t="s">
        <v>56</v>
      </c>
      <c r="F33" s="13"/>
      <c r="G33" s="14" t="s">
        <v>655</v>
      </c>
      <c r="H33" s="13" t="s">
        <v>17</v>
      </c>
      <c r="I33" s="13" t="s">
        <v>16</v>
      </c>
      <c r="J33" s="13" t="s">
        <v>73</v>
      </c>
      <c r="K33" s="14" t="s">
        <v>656</v>
      </c>
      <c r="L33" s="13" t="s">
        <v>47</v>
      </c>
      <c r="M33" s="13" t="s">
        <v>7</v>
      </c>
      <c r="N33" s="13" t="s">
        <v>48</v>
      </c>
    </row>
    <row r="34" spans="1:14" ht="26.1">
      <c r="A34" s="13" t="s">
        <v>644</v>
      </c>
      <c r="B34" s="13" t="s">
        <v>661</v>
      </c>
      <c r="C34" s="14" t="s">
        <v>662</v>
      </c>
      <c r="D34" s="13" t="s">
        <v>42</v>
      </c>
      <c r="E34" s="13" t="s">
        <v>56</v>
      </c>
      <c r="F34" s="13"/>
      <c r="G34" s="14" t="s">
        <v>655</v>
      </c>
      <c r="H34" s="13" t="s">
        <v>17</v>
      </c>
      <c r="I34" s="13" t="s">
        <v>16</v>
      </c>
      <c r="J34" s="13" t="s">
        <v>73</v>
      </c>
      <c r="K34" s="14" t="s">
        <v>656</v>
      </c>
      <c r="L34" s="13" t="s">
        <v>47</v>
      </c>
      <c r="M34" s="13" t="s">
        <v>7</v>
      </c>
      <c r="N34" s="13" t="s">
        <v>48</v>
      </c>
    </row>
    <row r="35" spans="1:14" ht="26.1">
      <c r="A35" s="13" t="s">
        <v>644</v>
      </c>
      <c r="B35" s="13" t="s">
        <v>663</v>
      </c>
      <c r="C35" s="14" t="s">
        <v>664</v>
      </c>
      <c r="D35" s="13" t="s">
        <v>153</v>
      </c>
      <c r="E35" s="13" t="s">
        <v>56</v>
      </c>
      <c r="F35" s="13"/>
      <c r="G35" s="14" t="s">
        <v>655</v>
      </c>
      <c r="H35" s="13" t="s">
        <v>17</v>
      </c>
      <c r="I35" s="13" t="s">
        <v>16</v>
      </c>
      <c r="J35" s="13" t="s">
        <v>73</v>
      </c>
      <c r="K35" s="14" t="s">
        <v>656</v>
      </c>
      <c r="L35" s="13" t="s">
        <v>47</v>
      </c>
      <c r="M35" s="13" t="s">
        <v>7</v>
      </c>
      <c r="N35" s="13" t="s">
        <v>48</v>
      </c>
    </row>
    <row r="36" spans="1:14" ht="26.1">
      <c r="A36" s="13" t="s">
        <v>644</v>
      </c>
      <c r="B36" s="13" t="s">
        <v>665</v>
      </c>
      <c r="C36" s="14" t="s">
        <v>666</v>
      </c>
      <c r="D36" s="13" t="s">
        <v>42</v>
      </c>
      <c r="E36" s="13" t="s">
        <v>56</v>
      </c>
      <c r="F36" s="13"/>
      <c r="G36" s="14" t="s">
        <v>655</v>
      </c>
      <c r="H36" s="13" t="s">
        <v>17</v>
      </c>
      <c r="I36" s="13" t="s">
        <v>16</v>
      </c>
      <c r="J36" s="13" t="s">
        <v>73</v>
      </c>
      <c r="K36" s="14" t="s">
        <v>656</v>
      </c>
      <c r="L36" s="13" t="s">
        <v>47</v>
      </c>
      <c r="M36" s="13" t="s">
        <v>7</v>
      </c>
      <c r="N36" s="13" t="s">
        <v>48</v>
      </c>
    </row>
    <row r="37" spans="1:14" ht="26.1">
      <c r="A37" s="13" t="s">
        <v>644</v>
      </c>
      <c r="B37" s="13" t="s">
        <v>667</v>
      </c>
      <c r="C37" s="14" t="s">
        <v>668</v>
      </c>
      <c r="D37" s="13" t="s">
        <v>42</v>
      </c>
      <c r="E37" s="13" t="s">
        <v>127</v>
      </c>
      <c r="F37" s="13"/>
      <c r="G37" s="14" t="s">
        <v>655</v>
      </c>
      <c r="H37" s="13" t="s">
        <v>17</v>
      </c>
      <c r="I37" s="13" t="s">
        <v>16</v>
      </c>
      <c r="J37" s="13" t="s">
        <v>73</v>
      </c>
      <c r="K37" s="14" t="s">
        <v>656</v>
      </c>
      <c r="L37" s="13" t="s">
        <v>47</v>
      </c>
      <c r="M37" s="13" t="s">
        <v>7</v>
      </c>
      <c r="N37" s="13" t="s">
        <v>48</v>
      </c>
    </row>
    <row r="38" spans="1:14" ht="26.1">
      <c r="A38" s="13" t="s">
        <v>644</v>
      </c>
      <c r="B38" s="13" t="s">
        <v>669</v>
      </c>
      <c r="C38" s="14" t="s">
        <v>670</v>
      </c>
      <c r="D38" s="13" t="s">
        <v>153</v>
      </c>
      <c r="E38" s="13" t="s">
        <v>127</v>
      </c>
      <c r="F38" s="13"/>
      <c r="G38" s="14" t="s">
        <v>655</v>
      </c>
      <c r="H38" s="13" t="s">
        <v>17</v>
      </c>
      <c r="I38" s="13" t="s">
        <v>16</v>
      </c>
      <c r="J38" s="13" t="s">
        <v>73</v>
      </c>
      <c r="K38" s="14" t="s">
        <v>656</v>
      </c>
      <c r="L38" s="13" t="s">
        <v>47</v>
      </c>
      <c r="M38" s="13" t="s">
        <v>7</v>
      </c>
      <c r="N38" s="13" t="s">
        <v>48</v>
      </c>
    </row>
    <row r="39" spans="1:14" ht="26.1">
      <c r="A39" s="13" t="s">
        <v>644</v>
      </c>
      <c r="B39" s="13" t="s">
        <v>671</v>
      </c>
      <c r="C39" s="14" t="s">
        <v>672</v>
      </c>
      <c r="D39" s="13" t="s">
        <v>42</v>
      </c>
      <c r="E39" s="13" t="s">
        <v>127</v>
      </c>
      <c r="F39" s="13"/>
      <c r="G39" s="14" t="s">
        <v>655</v>
      </c>
      <c r="H39" s="13" t="s">
        <v>17</v>
      </c>
      <c r="I39" s="13" t="s">
        <v>16</v>
      </c>
      <c r="J39" s="13" t="s">
        <v>73</v>
      </c>
      <c r="K39" s="14" t="s">
        <v>656</v>
      </c>
      <c r="L39" s="13" t="s">
        <v>47</v>
      </c>
      <c r="M39" s="13" t="s">
        <v>7</v>
      </c>
      <c r="N39" s="13" t="s">
        <v>48</v>
      </c>
    </row>
    <row r="40" spans="1:14" ht="26.1">
      <c r="A40" s="13" t="s">
        <v>644</v>
      </c>
      <c r="B40" s="13" t="s">
        <v>673</v>
      </c>
      <c r="C40" s="14" t="s">
        <v>674</v>
      </c>
      <c r="D40" s="13" t="s">
        <v>153</v>
      </c>
      <c r="E40" s="13" t="s">
        <v>56</v>
      </c>
      <c r="F40" s="13"/>
      <c r="G40" s="14" t="s">
        <v>655</v>
      </c>
      <c r="H40" s="13" t="s">
        <v>17</v>
      </c>
      <c r="I40" s="13" t="s">
        <v>16</v>
      </c>
      <c r="J40" s="13" t="s">
        <v>73</v>
      </c>
      <c r="K40" s="14" t="s">
        <v>656</v>
      </c>
      <c r="L40" s="13" t="s">
        <v>47</v>
      </c>
      <c r="M40" s="13" t="s">
        <v>7</v>
      </c>
      <c r="N40" s="13" t="s">
        <v>48</v>
      </c>
    </row>
    <row r="41" spans="1:14" ht="26.1">
      <c r="A41" s="13" t="s">
        <v>644</v>
      </c>
      <c r="B41" s="13" t="s">
        <v>675</v>
      </c>
      <c r="C41" s="14" t="s">
        <v>676</v>
      </c>
      <c r="D41" s="13" t="s">
        <v>42</v>
      </c>
      <c r="E41" s="13" t="s">
        <v>56</v>
      </c>
      <c r="F41" s="13"/>
      <c r="G41" s="14" t="s">
        <v>655</v>
      </c>
      <c r="H41" s="13" t="s">
        <v>17</v>
      </c>
      <c r="I41" s="13" t="s">
        <v>16</v>
      </c>
      <c r="J41" s="13" t="s">
        <v>73</v>
      </c>
      <c r="K41" s="14" t="s">
        <v>656</v>
      </c>
      <c r="L41" s="13" t="s">
        <v>47</v>
      </c>
      <c r="M41" s="13" t="s">
        <v>7</v>
      </c>
      <c r="N41" s="13" t="s">
        <v>48</v>
      </c>
    </row>
    <row r="42" spans="1:14" ht="26.1">
      <c r="A42" s="13" t="s">
        <v>644</v>
      </c>
      <c r="B42" s="13" t="s">
        <v>677</v>
      </c>
      <c r="C42" s="14" t="s">
        <v>678</v>
      </c>
      <c r="D42" s="13" t="s">
        <v>42</v>
      </c>
      <c r="E42" s="13" t="s">
        <v>56</v>
      </c>
      <c r="F42" s="13"/>
      <c r="G42" s="14" t="s">
        <v>679</v>
      </c>
      <c r="H42" s="13" t="s">
        <v>15</v>
      </c>
      <c r="I42" s="13" t="s">
        <v>16</v>
      </c>
      <c r="J42" s="13" t="s">
        <v>73</v>
      </c>
      <c r="K42" s="14" t="s">
        <v>680</v>
      </c>
      <c r="L42" s="13" t="s">
        <v>47</v>
      </c>
      <c r="M42" s="13" t="s">
        <v>7</v>
      </c>
      <c r="N42" s="13" t="s">
        <v>48</v>
      </c>
    </row>
    <row r="43" spans="1:14" ht="26.1">
      <c r="A43" s="13" t="s">
        <v>644</v>
      </c>
      <c r="B43" s="13" t="s">
        <v>681</v>
      </c>
      <c r="C43" s="14" t="s">
        <v>682</v>
      </c>
      <c r="D43" s="13" t="s">
        <v>42</v>
      </c>
      <c r="E43" s="13" t="s">
        <v>56</v>
      </c>
      <c r="F43" s="13"/>
      <c r="G43" s="14" t="s">
        <v>679</v>
      </c>
      <c r="H43" s="13" t="s">
        <v>15</v>
      </c>
      <c r="I43" s="13" t="s">
        <v>16</v>
      </c>
      <c r="J43" s="13" t="s">
        <v>73</v>
      </c>
      <c r="K43" s="14" t="s">
        <v>680</v>
      </c>
      <c r="L43" s="13" t="s">
        <v>47</v>
      </c>
      <c r="M43" s="13" t="s">
        <v>7</v>
      </c>
      <c r="N43" s="13" t="s">
        <v>48</v>
      </c>
    </row>
    <row r="44" spans="1:14" ht="26.1">
      <c r="A44" s="13" t="s">
        <v>644</v>
      </c>
      <c r="B44" s="13" t="s">
        <v>683</v>
      </c>
      <c r="C44" s="14" t="s">
        <v>684</v>
      </c>
      <c r="D44" s="13" t="s">
        <v>153</v>
      </c>
      <c r="E44" s="13" t="s">
        <v>56</v>
      </c>
      <c r="F44" s="13" t="s">
        <v>685</v>
      </c>
      <c r="G44" s="14" t="s">
        <v>679</v>
      </c>
      <c r="H44" s="13" t="s">
        <v>15</v>
      </c>
      <c r="I44" s="13" t="s">
        <v>16</v>
      </c>
      <c r="J44" s="13" t="s">
        <v>73</v>
      </c>
      <c r="K44" s="14" t="s">
        <v>680</v>
      </c>
      <c r="L44" s="13" t="s">
        <v>47</v>
      </c>
      <c r="M44" s="13" t="s">
        <v>7</v>
      </c>
      <c r="N44" s="13" t="s">
        <v>48</v>
      </c>
    </row>
    <row r="45" spans="1:14" ht="26.1">
      <c r="A45" s="13" t="s">
        <v>644</v>
      </c>
      <c r="B45" s="13" t="s">
        <v>686</v>
      </c>
      <c r="C45" s="14" t="s">
        <v>687</v>
      </c>
      <c r="D45" s="13" t="s">
        <v>42</v>
      </c>
      <c r="E45" s="13" t="s">
        <v>56</v>
      </c>
      <c r="F45" s="13"/>
      <c r="G45" s="14" t="s">
        <v>655</v>
      </c>
      <c r="H45" s="13" t="s">
        <v>17</v>
      </c>
      <c r="I45" s="13" t="s">
        <v>16</v>
      </c>
      <c r="J45" s="13" t="s">
        <v>73</v>
      </c>
      <c r="K45" s="14" t="s">
        <v>656</v>
      </c>
      <c r="L45" s="13" t="s">
        <v>47</v>
      </c>
      <c r="M45" s="13" t="s">
        <v>7</v>
      </c>
      <c r="N45" s="13" t="s">
        <v>48</v>
      </c>
    </row>
    <row r="46" spans="1:14">
      <c r="A46" s="13" t="s">
        <v>688</v>
      </c>
      <c r="B46" s="13" t="s">
        <v>689</v>
      </c>
      <c r="C46" s="14" t="s">
        <v>690</v>
      </c>
      <c r="D46" s="13" t="s">
        <v>42</v>
      </c>
      <c r="E46" s="13" t="s">
        <v>56</v>
      </c>
      <c r="F46" s="13"/>
      <c r="G46" s="14" t="s">
        <v>691</v>
      </c>
      <c r="H46" s="13" t="s">
        <v>15</v>
      </c>
      <c r="I46" s="13" t="s">
        <v>16</v>
      </c>
      <c r="J46" s="13" t="s">
        <v>300</v>
      </c>
      <c r="K46" s="14" t="s">
        <v>692</v>
      </c>
      <c r="L46" s="13" t="s">
        <v>47</v>
      </c>
      <c r="M46" s="13" t="s">
        <v>7</v>
      </c>
      <c r="N46" s="13" t="s">
        <v>48</v>
      </c>
    </row>
    <row r="47" spans="1:14">
      <c r="A47" s="13" t="s">
        <v>688</v>
      </c>
      <c r="B47" s="13" t="s">
        <v>693</v>
      </c>
      <c r="C47" s="14" t="s">
        <v>694</v>
      </c>
      <c r="D47" s="13" t="s">
        <v>42</v>
      </c>
      <c r="E47" s="13" t="s">
        <v>56</v>
      </c>
      <c r="F47" s="13"/>
      <c r="G47" s="14" t="s">
        <v>695</v>
      </c>
      <c r="H47" s="13" t="s">
        <v>17</v>
      </c>
      <c r="I47" s="13" t="s">
        <v>18</v>
      </c>
      <c r="J47" s="13" t="s">
        <v>300</v>
      </c>
      <c r="K47" s="14" t="s">
        <v>696</v>
      </c>
      <c r="L47" s="13" t="s">
        <v>47</v>
      </c>
      <c r="M47" s="13" t="s">
        <v>7</v>
      </c>
      <c r="N47" s="13" t="s">
        <v>48</v>
      </c>
    </row>
    <row r="48" spans="1:14">
      <c r="A48" s="13" t="s">
        <v>688</v>
      </c>
      <c r="B48" s="13" t="s">
        <v>697</v>
      </c>
      <c r="C48" s="14" t="s">
        <v>698</v>
      </c>
      <c r="D48" s="13" t="s">
        <v>42</v>
      </c>
      <c r="E48" s="13" t="s">
        <v>56</v>
      </c>
      <c r="F48" s="13"/>
      <c r="G48" s="14" t="s">
        <v>699</v>
      </c>
      <c r="H48" s="13" t="s">
        <v>13</v>
      </c>
      <c r="I48" s="13" t="s">
        <v>18</v>
      </c>
      <c r="J48" s="13" t="s">
        <v>300</v>
      </c>
      <c r="K48" s="14" t="s">
        <v>700</v>
      </c>
      <c r="L48" s="13" t="s">
        <v>47</v>
      </c>
      <c r="M48" s="13" t="s">
        <v>7</v>
      </c>
      <c r="N48" s="13" t="s">
        <v>48</v>
      </c>
    </row>
    <row r="49" spans="1:14">
      <c r="A49" s="13" t="s">
        <v>688</v>
      </c>
      <c r="B49" s="13" t="s">
        <v>701</v>
      </c>
      <c r="C49" s="14" t="s">
        <v>702</v>
      </c>
      <c r="D49" s="13" t="s">
        <v>42</v>
      </c>
      <c r="E49" s="13" t="s">
        <v>56</v>
      </c>
      <c r="F49" s="13"/>
      <c r="G49" s="14" t="s">
        <v>703</v>
      </c>
      <c r="H49" s="13" t="s">
        <v>20</v>
      </c>
      <c r="I49" s="13" t="s">
        <v>18</v>
      </c>
      <c r="J49" s="13" t="s">
        <v>704</v>
      </c>
      <c r="K49" s="14" t="s">
        <v>705</v>
      </c>
      <c r="L49" s="13" t="s">
        <v>47</v>
      </c>
      <c r="M49" s="13" t="s">
        <v>7</v>
      </c>
      <c r="N49" s="13" t="s">
        <v>48</v>
      </c>
    </row>
    <row r="50" spans="1:14">
      <c r="A50" s="13" t="s">
        <v>688</v>
      </c>
      <c r="B50" s="13" t="s">
        <v>706</v>
      </c>
      <c r="C50" s="14" t="s">
        <v>707</v>
      </c>
      <c r="D50" s="13" t="s">
        <v>42</v>
      </c>
      <c r="E50" s="13" t="s">
        <v>56</v>
      </c>
      <c r="F50" s="13"/>
      <c r="G50" s="14" t="s">
        <v>703</v>
      </c>
      <c r="H50" s="13" t="s">
        <v>20</v>
      </c>
      <c r="I50" s="13" t="s">
        <v>18</v>
      </c>
      <c r="J50" s="13" t="s">
        <v>704</v>
      </c>
      <c r="K50" s="14" t="s">
        <v>705</v>
      </c>
      <c r="L50" s="13" t="s">
        <v>47</v>
      </c>
      <c r="M50" s="13" t="s">
        <v>7</v>
      </c>
      <c r="N50" s="13" t="s">
        <v>48</v>
      </c>
    </row>
    <row r="51" spans="1:14">
      <c r="A51" s="13" t="s">
        <v>688</v>
      </c>
      <c r="B51" s="13" t="s">
        <v>708</v>
      </c>
      <c r="C51" s="14" t="s">
        <v>709</v>
      </c>
      <c r="D51" s="13" t="s">
        <v>42</v>
      </c>
      <c r="E51" s="13" t="s">
        <v>56</v>
      </c>
      <c r="F51" s="13"/>
      <c r="G51" s="14" t="s">
        <v>710</v>
      </c>
      <c r="H51" s="13" t="s">
        <v>13</v>
      </c>
      <c r="I51" s="13" t="s">
        <v>16</v>
      </c>
      <c r="J51" s="13" t="s">
        <v>300</v>
      </c>
      <c r="K51" s="14" t="s">
        <v>711</v>
      </c>
      <c r="L51" s="13" t="s">
        <v>47</v>
      </c>
      <c r="M51" s="13" t="s">
        <v>7</v>
      </c>
      <c r="N51" s="13" t="s">
        <v>48</v>
      </c>
    </row>
    <row r="52" spans="1:14">
      <c r="A52" s="13" t="s">
        <v>688</v>
      </c>
      <c r="B52" s="13" t="s">
        <v>712</v>
      </c>
      <c r="C52" s="14" t="s">
        <v>713</v>
      </c>
      <c r="D52" s="13" t="s">
        <v>42</v>
      </c>
      <c r="E52" s="13" t="s">
        <v>56</v>
      </c>
      <c r="F52" s="13"/>
      <c r="G52" s="14" t="s">
        <v>714</v>
      </c>
      <c r="H52" s="13" t="s">
        <v>15</v>
      </c>
      <c r="I52" s="13" t="s">
        <v>16</v>
      </c>
      <c r="J52" s="13" t="s">
        <v>300</v>
      </c>
      <c r="K52" s="14" t="s">
        <v>715</v>
      </c>
      <c r="L52" s="13" t="s">
        <v>47</v>
      </c>
      <c r="M52" s="13" t="s">
        <v>7</v>
      </c>
      <c r="N52" s="13" t="s">
        <v>48</v>
      </c>
    </row>
  </sheetData>
  <mergeCells count="2">
    <mergeCell ref="A1:N1"/>
    <mergeCell ref="A2:N2"/>
  </mergeCells>
  <conditionalFormatting sqref="H4:H52">
    <cfRule type="containsText" dxfId="14" priority="1" operator="containsText" text="Direct"/>
    <cfRule type="containsText" dxfId="13" priority="2" operator="containsText" text="Partial"/>
    <cfRule type="containsText" dxfId="12" priority="3" operator="containsText" text="Extension container"/>
    <cfRule type="containsText" dxfId="11" priority="4" operator="containsText" text="No first-class analog"/>
    <cfRule type="containsText" dxfId="10" priority="5" operator="containsText" text="Platform or manifest"/>
    <cfRule type="containsText" dxfId="9" priority="6" operator="containsText" text="Derived/search-only"/>
  </conditionalFormatting>
  <conditionalFormatting sqref="I4:I52">
    <cfRule type="containsText" dxfId="8" priority="7" operator="containsText" text="High"/>
    <cfRule type="containsText" dxfId="7" priority="8" operator="containsText" text="Medium"/>
    <cfRule type="containsText" dxfId="6" priority="9" operator="containsText" text="Low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5"/>
  <sheetViews>
    <sheetView showGridLines="0" workbookViewId="0"/>
  </sheetViews>
  <sheetFormatPr defaultColWidth="8.875" defaultRowHeight="14.1"/>
  <cols>
    <col min="1" max="1" width="36" customWidth="1"/>
    <col min="2" max="2" width="25" customWidth="1"/>
    <col min="3" max="3" width="40" customWidth="1"/>
    <col min="4" max="4" width="28" customWidth="1"/>
    <col min="5" max="5" width="12" customWidth="1"/>
    <col min="6" max="6" width="58" customWidth="1"/>
    <col min="7" max="7" width="17" customWidth="1"/>
    <col min="8" max="8" width="50" customWidth="1"/>
  </cols>
  <sheetData>
    <row r="1" spans="1:8" ht="33.950000000000003" customHeight="1">
      <c r="A1" s="22" t="s">
        <v>716</v>
      </c>
      <c r="B1" s="22"/>
      <c r="C1" s="22"/>
      <c r="D1" s="22"/>
      <c r="E1" s="22"/>
      <c r="F1" s="22"/>
      <c r="G1" s="22"/>
      <c r="H1" s="22"/>
    </row>
    <row r="2" spans="1:8" ht="33.950000000000003" customHeight="1">
      <c r="A2" s="23" t="s">
        <v>717</v>
      </c>
      <c r="B2" s="23"/>
      <c r="C2" s="23"/>
      <c r="D2" s="23"/>
      <c r="E2" s="23"/>
      <c r="F2" s="23"/>
      <c r="G2" s="23"/>
      <c r="H2" s="23"/>
    </row>
    <row r="3" spans="1:8" ht="30" customHeight="1">
      <c r="A3" s="8" t="s">
        <v>718</v>
      </c>
      <c r="B3" s="9" t="s">
        <v>30</v>
      </c>
      <c r="C3" s="9" t="s">
        <v>719</v>
      </c>
      <c r="D3" s="9" t="s">
        <v>720</v>
      </c>
      <c r="E3" s="9" t="s">
        <v>34</v>
      </c>
      <c r="F3" s="9" t="s">
        <v>721</v>
      </c>
      <c r="G3" s="9" t="s">
        <v>35</v>
      </c>
      <c r="H3" s="10" t="s">
        <v>38</v>
      </c>
    </row>
    <row r="4" spans="1:8">
      <c r="A4" s="13" t="s">
        <v>722</v>
      </c>
      <c r="B4" s="13" t="s">
        <v>723</v>
      </c>
      <c r="C4" s="14" t="s">
        <v>724</v>
      </c>
      <c r="D4" s="13" t="s">
        <v>15</v>
      </c>
      <c r="E4" s="13" t="s">
        <v>14</v>
      </c>
      <c r="F4" s="13" t="s">
        <v>725</v>
      </c>
      <c r="G4" s="14" t="s">
        <v>45</v>
      </c>
      <c r="H4" s="13" t="s">
        <v>48</v>
      </c>
    </row>
    <row r="5" spans="1:8">
      <c r="A5" s="13" t="s">
        <v>726</v>
      </c>
      <c r="B5" s="13" t="s">
        <v>723</v>
      </c>
      <c r="C5" s="14" t="s">
        <v>80</v>
      </c>
      <c r="D5" s="13" t="s">
        <v>15</v>
      </c>
      <c r="E5" s="13" t="s">
        <v>14</v>
      </c>
      <c r="F5" s="13" t="s">
        <v>727</v>
      </c>
      <c r="G5" s="14" t="s">
        <v>45</v>
      </c>
      <c r="H5" s="13" t="s">
        <v>48</v>
      </c>
    </row>
    <row r="6" spans="1:8">
      <c r="A6" s="13" t="s">
        <v>113</v>
      </c>
      <c r="B6" s="13" t="s">
        <v>723</v>
      </c>
      <c r="C6" s="14" t="s">
        <v>728</v>
      </c>
      <c r="D6" s="13" t="s">
        <v>729</v>
      </c>
      <c r="E6" s="13" t="s">
        <v>14</v>
      </c>
      <c r="F6" s="13" t="s">
        <v>730</v>
      </c>
      <c r="G6" s="14" t="s">
        <v>114</v>
      </c>
      <c r="H6" s="13" t="s">
        <v>48</v>
      </c>
    </row>
    <row r="7" spans="1:8">
      <c r="A7" s="13" t="s">
        <v>731</v>
      </c>
      <c r="B7" s="13" t="s">
        <v>723</v>
      </c>
      <c r="C7" s="14" t="s">
        <v>732</v>
      </c>
      <c r="D7" s="13" t="s">
        <v>733</v>
      </c>
      <c r="E7" s="13" t="s">
        <v>14</v>
      </c>
      <c r="F7" s="13" t="s">
        <v>734</v>
      </c>
      <c r="G7" s="14" t="s">
        <v>114</v>
      </c>
      <c r="H7" s="13" t="s">
        <v>48</v>
      </c>
    </row>
    <row r="8" spans="1:8">
      <c r="A8" s="13" t="s">
        <v>735</v>
      </c>
      <c r="B8" s="13" t="s">
        <v>723</v>
      </c>
      <c r="C8" s="14" t="s">
        <v>732</v>
      </c>
      <c r="D8" s="13" t="s">
        <v>733</v>
      </c>
      <c r="E8" s="13" t="s">
        <v>14</v>
      </c>
      <c r="F8" s="13" t="s">
        <v>736</v>
      </c>
      <c r="G8" s="14" t="s">
        <v>114</v>
      </c>
      <c r="H8" s="13" t="s">
        <v>48</v>
      </c>
    </row>
    <row r="9" spans="1:8">
      <c r="A9" s="13" t="s">
        <v>122</v>
      </c>
      <c r="B9" s="13" t="s">
        <v>723</v>
      </c>
      <c r="C9" s="14" t="s">
        <v>120</v>
      </c>
      <c r="D9" s="13" t="s">
        <v>15</v>
      </c>
      <c r="E9" s="13" t="s">
        <v>16</v>
      </c>
      <c r="F9" s="13" t="s">
        <v>737</v>
      </c>
      <c r="G9" s="14" t="s">
        <v>94</v>
      </c>
      <c r="H9" s="13" t="s">
        <v>48</v>
      </c>
    </row>
    <row r="10" spans="1:8">
      <c r="A10" s="13" t="s">
        <v>738</v>
      </c>
      <c r="B10" s="13" t="s">
        <v>723</v>
      </c>
      <c r="C10" s="14" t="s">
        <v>739</v>
      </c>
      <c r="D10" s="13" t="s">
        <v>15</v>
      </c>
      <c r="E10" s="13" t="s">
        <v>14</v>
      </c>
      <c r="F10" s="13" t="s">
        <v>740</v>
      </c>
      <c r="G10" s="14" t="s">
        <v>114</v>
      </c>
      <c r="H10" s="13" t="s">
        <v>48</v>
      </c>
    </row>
    <row r="11" spans="1:8">
      <c r="A11" s="13" t="s">
        <v>52</v>
      </c>
      <c r="B11" s="13" t="s">
        <v>723</v>
      </c>
      <c r="C11" s="14" t="s">
        <v>741</v>
      </c>
      <c r="D11" s="13" t="s">
        <v>15</v>
      </c>
      <c r="E11" s="13" t="s">
        <v>16</v>
      </c>
      <c r="F11" s="13" t="s">
        <v>742</v>
      </c>
      <c r="G11" s="14" t="s">
        <v>45</v>
      </c>
      <c r="H11" s="13" t="s">
        <v>48</v>
      </c>
    </row>
    <row r="12" spans="1:8">
      <c r="A12" s="13" t="s">
        <v>743</v>
      </c>
      <c r="B12" s="13" t="s">
        <v>723</v>
      </c>
      <c r="C12" s="14" t="s">
        <v>744</v>
      </c>
      <c r="D12" s="13" t="s">
        <v>745</v>
      </c>
      <c r="E12" s="13" t="s">
        <v>16</v>
      </c>
      <c r="F12" s="13" t="s">
        <v>746</v>
      </c>
      <c r="G12" s="14" t="s">
        <v>67</v>
      </c>
      <c r="H12" s="13" t="s">
        <v>48</v>
      </c>
    </row>
    <row r="13" spans="1:8">
      <c r="A13" s="13" t="s">
        <v>747</v>
      </c>
      <c r="B13" s="13" t="s">
        <v>723</v>
      </c>
      <c r="C13" s="14" t="s">
        <v>748</v>
      </c>
      <c r="D13" s="13" t="s">
        <v>749</v>
      </c>
      <c r="E13" s="13" t="s">
        <v>14</v>
      </c>
      <c r="F13" s="13" t="s">
        <v>750</v>
      </c>
      <c r="G13" s="14" t="s">
        <v>129</v>
      </c>
      <c r="H13" s="13" t="s">
        <v>48</v>
      </c>
    </row>
    <row r="14" spans="1:8">
      <c r="A14" s="13" t="s">
        <v>751</v>
      </c>
      <c r="B14" s="13" t="s">
        <v>752</v>
      </c>
      <c r="C14" s="14" t="s">
        <v>753</v>
      </c>
      <c r="D14" s="13" t="s">
        <v>733</v>
      </c>
      <c r="E14" s="13" t="s">
        <v>14</v>
      </c>
      <c r="F14" s="13" t="s">
        <v>754</v>
      </c>
      <c r="G14" s="14" t="s">
        <v>129</v>
      </c>
      <c r="H14" s="13" t="s">
        <v>48</v>
      </c>
    </row>
    <row r="15" spans="1:8">
      <c r="A15" s="13" t="s">
        <v>304</v>
      </c>
      <c r="B15" s="13" t="s">
        <v>723</v>
      </c>
      <c r="C15" s="14" t="s">
        <v>755</v>
      </c>
      <c r="D15" s="13" t="s">
        <v>15</v>
      </c>
      <c r="E15" s="13" t="s">
        <v>14</v>
      </c>
      <c r="F15" s="13" t="s">
        <v>756</v>
      </c>
      <c r="G15" s="14" t="s">
        <v>67</v>
      </c>
      <c r="H15" s="13" t="s">
        <v>48</v>
      </c>
    </row>
    <row r="16" spans="1:8">
      <c r="A16" s="13" t="s">
        <v>757</v>
      </c>
      <c r="B16" s="13" t="s">
        <v>723</v>
      </c>
      <c r="C16" s="14" t="s">
        <v>263</v>
      </c>
      <c r="D16" s="13" t="s">
        <v>758</v>
      </c>
      <c r="E16" s="13" t="s">
        <v>14</v>
      </c>
      <c r="F16" s="13" t="s">
        <v>759</v>
      </c>
      <c r="G16" s="14" t="s">
        <v>67</v>
      </c>
      <c r="H16" s="13" t="s">
        <v>48</v>
      </c>
    </row>
    <row r="17" spans="1:8">
      <c r="A17" s="13" t="s">
        <v>66</v>
      </c>
      <c r="B17" s="13" t="s">
        <v>723</v>
      </c>
      <c r="C17" s="14" t="s">
        <v>64</v>
      </c>
      <c r="D17" s="13" t="s">
        <v>760</v>
      </c>
      <c r="E17" s="13" t="s">
        <v>18</v>
      </c>
      <c r="F17" s="13" t="s">
        <v>761</v>
      </c>
      <c r="G17" s="14" t="s">
        <v>67</v>
      </c>
      <c r="H17" s="13" t="s">
        <v>48</v>
      </c>
    </row>
    <row r="18" spans="1:8">
      <c r="A18" s="13" t="s">
        <v>762</v>
      </c>
      <c r="B18" s="13" t="s">
        <v>723</v>
      </c>
      <c r="C18" s="14" t="s">
        <v>763</v>
      </c>
      <c r="D18" s="13" t="s">
        <v>764</v>
      </c>
      <c r="E18" s="13" t="s">
        <v>14</v>
      </c>
      <c r="F18" s="13" t="s">
        <v>765</v>
      </c>
      <c r="G18" s="14" t="s">
        <v>67</v>
      </c>
      <c r="H18" s="13" t="s">
        <v>48</v>
      </c>
    </row>
    <row r="19" spans="1:8">
      <c r="A19" s="13" t="s">
        <v>766</v>
      </c>
      <c r="B19" s="13" t="s">
        <v>767</v>
      </c>
      <c r="C19" s="14" t="s">
        <v>399</v>
      </c>
      <c r="D19" s="13" t="s">
        <v>15</v>
      </c>
      <c r="E19" s="13" t="s">
        <v>14</v>
      </c>
      <c r="F19" s="13" t="s">
        <v>768</v>
      </c>
      <c r="G19" s="14" t="s">
        <v>67</v>
      </c>
      <c r="H19" s="13" t="s">
        <v>48</v>
      </c>
    </row>
    <row r="20" spans="1:8">
      <c r="A20" s="13" t="s">
        <v>769</v>
      </c>
      <c r="B20" s="13" t="s">
        <v>767</v>
      </c>
      <c r="C20" s="14" t="s">
        <v>263</v>
      </c>
      <c r="D20" s="13" t="s">
        <v>758</v>
      </c>
      <c r="E20" s="13" t="s">
        <v>14</v>
      </c>
      <c r="F20" s="13" t="s">
        <v>770</v>
      </c>
      <c r="G20" s="14" t="s">
        <v>67</v>
      </c>
      <c r="H20" s="13" t="s">
        <v>48</v>
      </c>
    </row>
    <row r="21" spans="1:8">
      <c r="A21" s="13" t="s">
        <v>771</v>
      </c>
      <c r="B21" s="13" t="s">
        <v>767</v>
      </c>
      <c r="C21" s="14" t="s">
        <v>772</v>
      </c>
      <c r="D21" s="13" t="s">
        <v>745</v>
      </c>
      <c r="E21" s="13" t="s">
        <v>16</v>
      </c>
      <c r="F21" s="13" t="s">
        <v>773</v>
      </c>
      <c r="G21" s="14" t="s">
        <v>67</v>
      </c>
      <c r="H21" s="13" t="s">
        <v>48</v>
      </c>
    </row>
    <row r="22" spans="1:8">
      <c r="A22" s="13" t="s">
        <v>774</v>
      </c>
      <c r="B22" s="13" t="s">
        <v>767</v>
      </c>
      <c r="C22" s="14" t="s">
        <v>775</v>
      </c>
      <c r="D22" s="13" t="s">
        <v>15</v>
      </c>
      <c r="E22" s="13" t="s">
        <v>14</v>
      </c>
      <c r="F22" s="13" t="s">
        <v>776</v>
      </c>
      <c r="G22" s="14" t="s">
        <v>67</v>
      </c>
      <c r="H22" s="13" t="s">
        <v>48</v>
      </c>
    </row>
    <row r="23" spans="1:8">
      <c r="A23" s="13" t="s">
        <v>777</v>
      </c>
      <c r="B23" s="13" t="s">
        <v>767</v>
      </c>
      <c r="C23" s="14" t="s">
        <v>778</v>
      </c>
      <c r="D23" s="13" t="s">
        <v>15</v>
      </c>
      <c r="E23" s="13" t="s">
        <v>14</v>
      </c>
      <c r="F23" s="13" t="s">
        <v>779</v>
      </c>
      <c r="G23" s="14" t="s">
        <v>67</v>
      </c>
      <c r="H23" s="13" t="s">
        <v>48</v>
      </c>
    </row>
    <row r="24" spans="1:8">
      <c r="A24" s="13" t="s">
        <v>780</v>
      </c>
      <c r="B24" s="13" t="s">
        <v>781</v>
      </c>
      <c r="C24" s="14" t="s">
        <v>143</v>
      </c>
      <c r="D24" s="13" t="s">
        <v>760</v>
      </c>
      <c r="E24" s="13" t="s">
        <v>18</v>
      </c>
      <c r="F24" s="13" t="s">
        <v>782</v>
      </c>
      <c r="G24" s="14" t="s">
        <v>67</v>
      </c>
      <c r="H24" s="13" t="s">
        <v>48</v>
      </c>
    </row>
    <row r="25" spans="1:8">
      <c r="A25" s="13" t="s">
        <v>783</v>
      </c>
      <c r="B25" s="13" t="s">
        <v>781</v>
      </c>
      <c r="C25" s="14" t="s">
        <v>732</v>
      </c>
      <c r="D25" s="13" t="s">
        <v>733</v>
      </c>
      <c r="E25" s="13" t="s">
        <v>14</v>
      </c>
      <c r="F25" s="13" t="s">
        <v>784</v>
      </c>
      <c r="G25" s="14" t="s">
        <v>67</v>
      </c>
      <c r="H25" s="13" t="s">
        <v>48</v>
      </c>
    </row>
    <row r="26" spans="1:8">
      <c r="A26" s="13" t="s">
        <v>785</v>
      </c>
      <c r="B26" s="13" t="s">
        <v>781</v>
      </c>
      <c r="C26" s="14" t="s">
        <v>786</v>
      </c>
      <c r="D26" s="13" t="s">
        <v>745</v>
      </c>
      <c r="E26" s="13" t="s">
        <v>16</v>
      </c>
      <c r="F26" s="13" t="s">
        <v>773</v>
      </c>
      <c r="G26" s="14" t="s">
        <v>67</v>
      </c>
      <c r="H26" s="13" t="s">
        <v>48</v>
      </c>
    </row>
    <row r="27" spans="1:8">
      <c r="A27" s="13" t="s">
        <v>787</v>
      </c>
      <c r="B27" s="13" t="s">
        <v>781</v>
      </c>
      <c r="C27" s="14" t="s">
        <v>186</v>
      </c>
      <c r="D27" s="13" t="s">
        <v>788</v>
      </c>
      <c r="E27" s="13" t="s">
        <v>14</v>
      </c>
      <c r="F27" s="13" t="s">
        <v>789</v>
      </c>
      <c r="G27" s="14" t="s">
        <v>67</v>
      </c>
      <c r="H27" s="13" t="s">
        <v>48</v>
      </c>
    </row>
    <row r="28" spans="1:8">
      <c r="A28" s="13" t="s">
        <v>790</v>
      </c>
      <c r="B28" s="13" t="s">
        <v>781</v>
      </c>
      <c r="C28" s="14" t="s">
        <v>791</v>
      </c>
      <c r="D28" s="13" t="s">
        <v>15</v>
      </c>
      <c r="E28" s="13" t="s">
        <v>14</v>
      </c>
      <c r="F28" s="13" t="s">
        <v>792</v>
      </c>
      <c r="G28" s="14" t="s">
        <v>67</v>
      </c>
      <c r="H28" s="13" t="s">
        <v>48</v>
      </c>
    </row>
    <row r="29" spans="1:8">
      <c r="A29" s="13" t="s">
        <v>793</v>
      </c>
      <c r="B29" s="13" t="s">
        <v>794</v>
      </c>
      <c r="C29" s="14" t="s">
        <v>163</v>
      </c>
      <c r="D29" s="13" t="s">
        <v>745</v>
      </c>
      <c r="E29" s="13" t="s">
        <v>16</v>
      </c>
      <c r="F29" s="13" t="s">
        <v>795</v>
      </c>
      <c r="G29" s="14" t="s">
        <v>67</v>
      </c>
      <c r="H29" s="13" t="s">
        <v>48</v>
      </c>
    </row>
    <row r="30" spans="1:8">
      <c r="A30" s="13" t="s">
        <v>796</v>
      </c>
      <c r="B30" s="13" t="s">
        <v>794</v>
      </c>
      <c r="C30" s="14" t="s">
        <v>156</v>
      </c>
      <c r="D30" s="13" t="s">
        <v>760</v>
      </c>
      <c r="E30" s="13" t="s">
        <v>18</v>
      </c>
      <c r="F30" s="13" t="s">
        <v>797</v>
      </c>
      <c r="G30" s="14" t="s">
        <v>67</v>
      </c>
      <c r="H30" s="13" t="s">
        <v>48</v>
      </c>
    </row>
    <row r="31" spans="1:8">
      <c r="A31" s="13" t="s">
        <v>798</v>
      </c>
      <c r="B31" s="13" t="s">
        <v>794</v>
      </c>
      <c r="C31" s="14" t="s">
        <v>151</v>
      </c>
      <c r="D31" s="13" t="s">
        <v>760</v>
      </c>
      <c r="E31" s="13" t="s">
        <v>18</v>
      </c>
      <c r="F31" s="13" t="s">
        <v>797</v>
      </c>
      <c r="G31" s="14" t="s">
        <v>67</v>
      </c>
      <c r="H31" s="13" t="s">
        <v>48</v>
      </c>
    </row>
    <row r="32" spans="1:8">
      <c r="A32" s="13" t="s">
        <v>799</v>
      </c>
      <c r="B32" s="13" t="s">
        <v>794</v>
      </c>
      <c r="C32" s="14" t="s">
        <v>159</v>
      </c>
      <c r="D32" s="13" t="s">
        <v>760</v>
      </c>
      <c r="E32" s="13" t="s">
        <v>18</v>
      </c>
      <c r="F32" s="13" t="s">
        <v>800</v>
      </c>
      <c r="G32" s="14" t="s">
        <v>67</v>
      </c>
      <c r="H32" s="13" t="s">
        <v>48</v>
      </c>
    </row>
    <row r="33" spans="1:8">
      <c r="A33" s="13" t="s">
        <v>801</v>
      </c>
      <c r="B33" s="13" t="s">
        <v>802</v>
      </c>
      <c r="C33" s="14" t="s">
        <v>147</v>
      </c>
      <c r="D33" s="13" t="s">
        <v>15</v>
      </c>
      <c r="E33" s="13" t="s">
        <v>14</v>
      </c>
      <c r="F33" s="13" t="s">
        <v>803</v>
      </c>
      <c r="G33" s="14" t="s">
        <v>67</v>
      </c>
      <c r="H33" s="13" t="s">
        <v>48</v>
      </c>
    </row>
    <row r="34" spans="1:8">
      <c r="A34" s="13" t="s">
        <v>804</v>
      </c>
      <c r="B34" s="13" t="s">
        <v>802</v>
      </c>
      <c r="C34" s="14" t="s">
        <v>534</v>
      </c>
      <c r="D34" s="13" t="s">
        <v>15</v>
      </c>
      <c r="E34" s="13" t="s">
        <v>14</v>
      </c>
      <c r="F34" s="13" t="s">
        <v>805</v>
      </c>
      <c r="G34" s="14" t="s">
        <v>67</v>
      </c>
      <c r="H34" s="13" t="s">
        <v>48</v>
      </c>
    </row>
    <row r="35" spans="1:8">
      <c r="A35" s="13" t="s">
        <v>806</v>
      </c>
      <c r="B35" s="13" t="s">
        <v>802</v>
      </c>
      <c r="C35" s="14" t="s">
        <v>807</v>
      </c>
      <c r="D35" s="13" t="s">
        <v>15</v>
      </c>
      <c r="E35" s="13" t="s">
        <v>14</v>
      </c>
      <c r="F35" s="13" t="s">
        <v>808</v>
      </c>
      <c r="G35" s="14" t="s">
        <v>211</v>
      </c>
      <c r="H35" s="13" t="s">
        <v>48</v>
      </c>
    </row>
    <row r="36" spans="1:8">
      <c r="A36" s="13" t="s">
        <v>809</v>
      </c>
      <c r="B36" s="13" t="s">
        <v>810</v>
      </c>
      <c r="C36" s="14" t="s">
        <v>811</v>
      </c>
      <c r="D36" s="13" t="s">
        <v>812</v>
      </c>
      <c r="E36" s="13" t="s">
        <v>14</v>
      </c>
      <c r="F36" s="13" t="s">
        <v>813</v>
      </c>
      <c r="G36" s="14" t="s">
        <v>67</v>
      </c>
      <c r="H36" s="13" t="s">
        <v>48</v>
      </c>
    </row>
    <row r="37" spans="1:8">
      <c r="A37" s="13" t="s">
        <v>814</v>
      </c>
      <c r="B37" s="13" t="s">
        <v>815</v>
      </c>
      <c r="C37" s="14" t="s">
        <v>816</v>
      </c>
      <c r="D37" s="13" t="s">
        <v>764</v>
      </c>
      <c r="E37" s="13" t="s">
        <v>14</v>
      </c>
      <c r="F37" s="13" t="s">
        <v>817</v>
      </c>
      <c r="G37" s="14" t="s">
        <v>300</v>
      </c>
      <c r="H37" s="13" t="s">
        <v>48</v>
      </c>
    </row>
    <row r="38" spans="1:8">
      <c r="A38" s="13" t="s">
        <v>818</v>
      </c>
      <c r="B38" s="13" t="s">
        <v>819</v>
      </c>
      <c r="C38" s="14" t="s">
        <v>354</v>
      </c>
      <c r="D38" s="13" t="s">
        <v>733</v>
      </c>
      <c r="E38" s="13" t="s">
        <v>14</v>
      </c>
      <c r="F38" s="13" t="s">
        <v>820</v>
      </c>
      <c r="G38" s="14" t="s">
        <v>300</v>
      </c>
      <c r="H38" s="13" t="s">
        <v>48</v>
      </c>
    </row>
    <row r="39" spans="1:8">
      <c r="A39" s="13" t="s">
        <v>821</v>
      </c>
      <c r="B39" s="13" t="s">
        <v>822</v>
      </c>
      <c r="C39" s="14" t="s">
        <v>823</v>
      </c>
      <c r="D39" s="13" t="s">
        <v>15</v>
      </c>
      <c r="E39" s="13" t="s">
        <v>14</v>
      </c>
      <c r="F39" s="13" t="s">
        <v>824</v>
      </c>
      <c r="G39" s="14" t="s">
        <v>300</v>
      </c>
      <c r="H39" s="13" t="s">
        <v>48</v>
      </c>
    </row>
    <row r="40" spans="1:8">
      <c r="A40" s="13" t="s">
        <v>825</v>
      </c>
      <c r="B40" s="13" t="s">
        <v>822</v>
      </c>
      <c r="C40" s="14" t="s">
        <v>296</v>
      </c>
      <c r="D40" s="13" t="s">
        <v>15</v>
      </c>
      <c r="E40" s="13" t="s">
        <v>14</v>
      </c>
      <c r="F40" s="13" t="s">
        <v>826</v>
      </c>
      <c r="G40" s="14" t="s">
        <v>300</v>
      </c>
      <c r="H40" s="13" t="s">
        <v>48</v>
      </c>
    </row>
    <row r="41" spans="1:8">
      <c r="A41" s="13" t="s">
        <v>827</v>
      </c>
      <c r="B41" s="13" t="s">
        <v>828</v>
      </c>
      <c r="C41" s="14" t="s">
        <v>829</v>
      </c>
      <c r="D41" s="13" t="s">
        <v>764</v>
      </c>
      <c r="E41" s="13" t="s">
        <v>16</v>
      </c>
      <c r="F41" s="13" t="s">
        <v>830</v>
      </c>
      <c r="G41" s="14" t="s">
        <v>270</v>
      </c>
      <c r="H41" s="13" t="s">
        <v>48</v>
      </c>
    </row>
    <row r="42" spans="1:8">
      <c r="A42" s="13" t="s">
        <v>831</v>
      </c>
      <c r="B42" s="13" t="s">
        <v>828</v>
      </c>
      <c r="C42" s="14" t="s">
        <v>732</v>
      </c>
      <c r="D42" s="13" t="s">
        <v>733</v>
      </c>
      <c r="E42" s="13" t="s">
        <v>16</v>
      </c>
      <c r="F42" s="13" t="s">
        <v>832</v>
      </c>
      <c r="G42" s="14" t="s">
        <v>270</v>
      </c>
      <c r="H42" s="13" t="s">
        <v>48</v>
      </c>
    </row>
    <row r="43" spans="1:8">
      <c r="A43" s="13" t="s">
        <v>833</v>
      </c>
      <c r="B43" s="13" t="s">
        <v>834</v>
      </c>
      <c r="C43" s="14" t="s">
        <v>835</v>
      </c>
      <c r="D43" s="13" t="s">
        <v>749</v>
      </c>
      <c r="E43" s="13" t="s">
        <v>14</v>
      </c>
      <c r="F43" s="13" t="s">
        <v>836</v>
      </c>
      <c r="G43" s="14" t="s">
        <v>129</v>
      </c>
      <c r="H43" s="13" t="s">
        <v>48</v>
      </c>
    </row>
    <row r="44" spans="1:8">
      <c r="A44" s="13" t="s">
        <v>837</v>
      </c>
      <c r="B44" s="13" t="s">
        <v>838</v>
      </c>
      <c r="C44" s="14" t="s">
        <v>839</v>
      </c>
      <c r="D44" s="13" t="s">
        <v>15</v>
      </c>
      <c r="E44" s="13" t="s">
        <v>16</v>
      </c>
      <c r="F44" s="13" t="s">
        <v>840</v>
      </c>
      <c r="G44" s="14" t="s">
        <v>73</v>
      </c>
      <c r="H44" s="13" t="s">
        <v>48</v>
      </c>
    </row>
    <row r="45" spans="1:8">
      <c r="A45" s="13" t="s">
        <v>841</v>
      </c>
      <c r="B45" s="13" t="s">
        <v>838</v>
      </c>
      <c r="C45" s="14" t="s">
        <v>842</v>
      </c>
      <c r="D45" s="13" t="s">
        <v>15</v>
      </c>
      <c r="E45" s="13" t="s">
        <v>14</v>
      </c>
      <c r="F45" s="13" t="s">
        <v>843</v>
      </c>
      <c r="G45" s="14" t="s">
        <v>73</v>
      </c>
      <c r="H45" s="13" t="s">
        <v>48</v>
      </c>
    </row>
  </sheetData>
  <mergeCells count="2">
    <mergeCell ref="A1:H1"/>
    <mergeCell ref="A2:H2"/>
  </mergeCells>
  <conditionalFormatting sqref="E4:E45">
    <cfRule type="containsText" dxfId="5" priority="1" operator="containsText" text="High"/>
    <cfRule type="containsText" dxfId="4" priority="2" operator="containsText" text="Medium"/>
    <cfRule type="containsText" dxfId="3" priority="3" operator="containsText" text="Low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showGridLines="0" workbookViewId="0"/>
  </sheetViews>
  <sheetFormatPr defaultColWidth="8.875" defaultRowHeight="14.1"/>
  <cols>
    <col min="1" max="1" width="10" customWidth="1"/>
    <col min="2" max="2" width="46" customWidth="1"/>
    <col min="3" max="3" width="28" customWidth="1"/>
    <col min="4" max="4" width="14" customWidth="1"/>
    <col min="5" max="5" width="58" customWidth="1"/>
  </cols>
  <sheetData>
    <row r="1" spans="1:5" ht="33.950000000000003" customHeight="1">
      <c r="A1" s="22" t="s">
        <v>844</v>
      </c>
      <c r="B1" s="22"/>
      <c r="C1" s="22"/>
      <c r="D1" s="22"/>
      <c r="E1" s="22"/>
    </row>
    <row r="2" spans="1:5" ht="33.950000000000003" customHeight="1">
      <c r="A2" s="23" t="s">
        <v>845</v>
      </c>
      <c r="B2" s="23"/>
      <c r="C2" s="23"/>
      <c r="D2" s="23"/>
      <c r="E2" s="23"/>
    </row>
    <row r="3" spans="1:5" ht="30" customHeight="1">
      <c r="A3" s="8" t="s">
        <v>846</v>
      </c>
      <c r="B3" s="9" t="s">
        <v>35</v>
      </c>
      <c r="C3" s="9" t="s">
        <v>847</v>
      </c>
      <c r="D3" s="9" t="s">
        <v>848</v>
      </c>
      <c r="E3" s="10" t="s">
        <v>849</v>
      </c>
    </row>
    <row r="4" spans="1:5">
      <c r="A4" s="15" t="s">
        <v>45</v>
      </c>
      <c r="B4" s="15" t="s">
        <v>850</v>
      </c>
      <c r="C4" s="15" t="s">
        <v>851</v>
      </c>
      <c r="D4" s="15" t="s">
        <v>852</v>
      </c>
      <c r="E4" s="15" t="s">
        <v>853</v>
      </c>
    </row>
    <row r="5" spans="1:5" ht="27.95">
      <c r="A5" s="15" t="s">
        <v>129</v>
      </c>
      <c r="B5" s="15" t="s">
        <v>854</v>
      </c>
      <c r="C5" s="15" t="s">
        <v>855</v>
      </c>
      <c r="D5" s="15" t="s">
        <v>852</v>
      </c>
      <c r="E5" s="15" t="s">
        <v>856</v>
      </c>
    </row>
    <row r="6" spans="1:5">
      <c r="A6" s="15" t="s">
        <v>194</v>
      </c>
      <c r="B6" s="15" t="s">
        <v>857</v>
      </c>
      <c r="C6" s="15" t="s">
        <v>858</v>
      </c>
      <c r="D6" s="15" t="s">
        <v>14</v>
      </c>
      <c r="E6" s="15" t="s">
        <v>859</v>
      </c>
    </row>
    <row r="7" spans="1:5" ht="27.95">
      <c r="A7" s="15" t="s">
        <v>67</v>
      </c>
      <c r="B7" s="15" t="s">
        <v>860</v>
      </c>
      <c r="C7" s="15" t="s">
        <v>861</v>
      </c>
      <c r="D7" s="15" t="s">
        <v>852</v>
      </c>
      <c r="E7" s="15" t="s">
        <v>862</v>
      </c>
    </row>
    <row r="8" spans="1:5" ht="27.95">
      <c r="A8" s="15" t="s">
        <v>94</v>
      </c>
      <c r="B8" s="15" t="s">
        <v>863</v>
      </c>
      <c r="C8" s="15" t="s">
        <v>864</v>
      </c>
      <c r="D8" s="15" t="s">
        <v>14</v>
      </c>
      <c r="E8" s="15" t="s">
        <v>865</v>
      </c>
    </row>
    <row r="9" spans="1:5" ht="27.95">
      <c r="A9" s="15" t="s">
        <v>73</v>
      </c>
      <c r="B9" s="15" t="s">
        <v>866</v>
      </c>
      <c r="C9" s="15" t="s">
        <v>861</v>
      </c>
      <c r="D9" s="15" t="s">
        <v>14</v>
      </c>
      <c r="E9" s="15" t="s">
        <v>867</v>
      </c>
    </row>
    <row r="10" spans="1:5" ht="27.95">
      <c r="A10" s="15" t="s">
        <v>300</v>
      </c>
      <c r="B10" s="15" t="s">
        <v>868</v>
      </c>
      <c r="C10" s="15" t="s">
        <v>869</v>
      </c>
      <c r="D10" s="15" t="s">
        <v>14</v>
      </c>
      <c r="E10" s="15" t="s">
        <v>870</v>
      </c>
    </row>
    <row r="11" spans="1:5">
      <c r="A11" s="15" t="s">
        <v>270</v>
      </c>
      <c r="B11" s="15" t="s">
        <v>871</v>
      </c>
      <c r="C11" s="15" t="s">
        <v>872</v>
      </c>
      <c r="D11" s="15" t="s">
        <v>16</v>
      </c>
      <c r="E11" s="15" t="s">
        <v>873</v>
      </c>
    </row>
    <row r="12" spans="1:5" ht="27.95">
      <c r="A12" s="15" t="s">
        <v>428</v>
      </c>
      <c r="B12" s="15" t="s">
        <v>874</v>
      </c>
      <c r="C12" s="15" t="s">
        <v>875</v>
      </c>
      <c r="D12" s="15" t="s">
        <v>16</v>
      </c>
      <c r="E12" s="15" t="s">
        <v>876</v>
      </c>
    </row>
    <row r="13" spans="1:5" ht="27.95">
      <c r="A13" s="15" t="s">
        <v>114</v>
      </c>
      <c r="B13" s="15" t="s">
        <v>877</v>
      </c>
      <c r="C13" s="15" t="s">
        <v>878</v>
      </c>
      <c r="D13" s="15" t="s">
        <v>852</v>
      </c>
      <c r="E13" s="15" t="s">
        <v>879</v>
      </c>
    </row>
  </sheetData>
  <mergeCells count="2">
    <mergeCell ref="A1:E1"/>
    <mergeCell ref="A2:E2"/>
  </mergeCells>
  <conditionalFormatting sqref="D4:D13">
    <cfRule type="containsText" dxfId="2" priority="1" operator="containsText" text="Blocker"/>
    <cfRule type="containsText" dxfId="1" priority="2" operator="containsText" text="High"/>
    <cfRule type="containsText" dxfId="0" priority="3" operator="containsText" text="Medium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showGridLines="0" workbookViewId="0">
      <selection sqref="A1:F1"/>
    </sheetView>
  </sheetViews>
  <sheetFormatPr defaultColWidth="8.875" defaultRowHeight="14.1"/>
  <cols>
    <col min="1" max="1" width="28" customWidth="1"/>
    <col min="2" max="2" width="95" customWidth="1"/>
  </cols>
  <sheetData>
    <row r="1" spans="1:6" ht="33.950000000000003" customHeight="1">
      <c r="A1" s="22" t="s">
        <v>880</v>
      </c>
      <c r="B1" s="22"/>
      <c r="C1" s="22"/>
      <c r="D1" s="22"/>
      <c r="E1" s="22"/>
      <c r="F1" s="22"/>
    </row>
    <row r="2" spans="1:6" ht="33.950000000000003" customHeight="1">
      <c r="A2" s="23" t="s">
        <v>881</v>
      </c>
      <c r="B2" s="23"/>
      <c r="C2" s="23"/>
      <c r="D2" s="23"/>
      <c r="E2" s="23"/>
      <c r="F2" s="23"/>
    </row>
    <row r="4" spans="1:6" ht="15">
      <c r="A4" s="16" t="s">
        <v>882</v>
      </c>
      <c r="B4" s="17" t="s">
        <v>883</v>
      </c>
    </row>
    <row r="5" spans="1:6" ht="15">
      <c r="A5" s="18" t="s">
        <v>884</v>
      </c>
      <c r="B5" s="19" t="s">
        <v>885</v>
      </c>
    </row>
    <row r="6" spans="1:6" ht="15">
      <c r="A6" s="18" t="s">
        <v>13</v>
      </c>
      <c r="B6" s="19" t="s">
        <v>886</v>
      </c>
    </row>
    <row r="7" spans="1:6" ht="15">
      <c r="A7" s="18" t="s">
        <v>15</v>
      </c>
      <c r="B7" s="19" t="s">
        <v>887</v>
      </c>
    </row>
    <row r="8" spans="1:6" ht="15">
      <c r="A8" s="18" t="s">
        <v>17</v>
      </c>
      <c r="B8" s="19" t="s">
        <v>888</v>
      </c>
    </row>
    <row r="9" spans="1:6" ht="15">
      <c r="A9" s="18" t="s">
        <v>19</v>
      </c>
      <c r="B9" s="19" t="s">
        <v>889</v>
      </c>
    </row>
    <row r="10" spans="1:6" ht="15">
      <c r="A10" s="18" t="s">
        <v>20</v>
      </c>
      <c r="B10" s="19" t="s">
        <v>890</v>
      </c>
    </row>
    <row r="11" spans="1:6" ht="15">
      <c r="A11" s="18" t="s">
        <v>21</v>
      </c>
      <c r="B11" s="19" t="s">
        <v>891</v>
      </c>
    </row>
    <row r="12" spans="1:6" ht="30">
      <c r="A12" s="18" t="s">
        <v>892</v>
      </c>
      <c r="B12" s="19" t="s">
        <v>893</v>
      </c>
    </row>
    <row r="13" spans="1:6" ht="15">
      <c r="A13" s="18" t="s">
        <v>894</v>
      </c>
      <c r="B13" s="19" t="s">
        <v>48</v>
      </c>
    </row>
    <row r="14" spans="1:6" ht="15">
      <c r="A14" s="20" t="s">
        <v>895</v>
      </c>
      <c r="B14" s="21" t="s">
        <v>896</v>
      </c>
    </row>
  </sheetData>
  <mergeCells count="2">
    <mergeCell ref="A1:F1"/>
    <mergeCell ref="A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7766a-2914-4083-8fcb-7bef63c6a228">
      <Terms xmlns="http://schemas.microsoft.com/office/infopath/2007/PartnerControls"/>
    </lcf76f155ced4ddcb4097134ff3c332f>
    <TaxCatchAll xmlns="b219cc57-1b6b-4b57-b335-56245e9226f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73867D2C79414BB92E537ECDE2D970" ma:contentTypeVersion="10" ma:contentTypeDescription="Create a new document." ma:contentTypeScope="" ma:versionID="0cdddf103fca98baf605ee1d7afa2ee2">
  <xsd:schema xmlns:xsd="http://www.w3.org/2001/XMLSchema" xmlns:xs="http://www.w3.org/2001/XMLSchema" xmlns:p="http://schemas.microsoft.com/office/2006/metadata/properties" xmlns:ns2="f7e7766a-2914-4083-8fcb-7bef63c6a228" xmlns:ns3="b219cc57-1b6b-4b57-b335-56245e9226f5" targetNamespace="http://schemas.microsoft.com/office/2006/metadata/properties" ma:root="true" ma:fieldsID="3fa8111c518c9ac6ec0c499b5cee99a8" ns2:_="" ns3:_="">
    <xsd:import namespace="f7e7766a-2914-4083-8fcb-7bef63c6a228"/>
    <xsd:import namespace="b219cc57-1b6b-4b57-b335-56245e9226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7766a-2914-4083-8fcb-7bef63c6a2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19cc57-1b6b-4b57-b335-56245e9226f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d9e235-23a8-4e10-a0f4-f619002a40db}" ma:internalName="TaxCatchAll" ma:showField="CatchAllData" ma:web="b219cc57-1b6b-4b57-b335-56245e9226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1ECA34-346D-42F6-B605-BF971FD17C56}"/>
</file>

<file path=customXml/itemProps2.xml><?xml version="1.0" encoding="utf-8"?>
<ds:datastoreItem xmlns:ds="http://schemas.openxmlformats.org/officeDocument/2006/customXml" ds:itemID="{5DFE6C5B-CE86-4C40-9C95-74A3B8CA1629}"/>
</file>

<file path=customXml/itemProps3.xml><?xml version="1.0" encoding="utf-8"?>
<ds:datastoreItem xmlns:ds="http://schemas.openxmlformats.org/officeDocument/2006/customXml" ds:itemID="{15230291-DDF7-4B2B-8560-25C3C0F23F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Tim Dolbeare</cp:lastModifiedBy>
  <cp:revision/>
  <dcterms:created xsi:type="dcterms:W3CDTF">2026-08-26T11:17:21Z</dcterms:created>
  <dcterms:modified xsi:type="dcterms:W3CDTF">2026-09-08T14:52:33Z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0x010100C473867D2C79414BB92E537ECDE2D970</vt:lpwstr>
  </property>
  <property fmtid="{D5CDD505-2E9C-101B-9397-08002B2CF9AE}" pid="3" name="MediaServiceImageTags">
    <vt:lpwstr/>
  </property>
</Properties>
</file>